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0c39b5949a49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af406ba7759c4d14"/>
    <x:sheet xmlns:r="http://schemas.openxmlformats.org/officeDocument/2006/relationships" name="Responsibility Matrix" sheetId="2" r:id="R5de92876d6be4096"/>
    <x:sheet xmlns:r="http://schemas.openxmlformats.org/officeDocument/2006/relationships" name="HIPAA Crosswalk" sheetId="3" r:id="Rc46f653e2f7e4cdb"/>
    <x:sheet xmlns:r="http://schemas.openxmlformats.org/officeDocument/2006/relationships" name="Dashboard" sheetId="4" r:id="R0f13a47f528949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3">
    <x:font>
      <x:sz val="11"/>
      <x:name val="Carlito"/>
    </x:font>
    <x:font>
      <x:b/>
      <x:sz val="16"/>
      <x:color rgb="FF0F3B5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8F3FA"/>
      </x:patternFill>
    </x:fill>
    <x:fill>
      <x:patternFill patternType="solid">
        <x:fgColor rgb="FF0F6CBD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07C10"/>
      </x:font>
      <x:fill>
        <x:patternFill patternType="solid">
          <x:bgColor rgb="FFDFF6DD"/>
        </x:patternFill>
      </x:fill>
    </x:dxf>
    <x:dxf>
      <x:font>
        <x:b/>
        <x:color rgb="FFA4262C"/>
      </x:font>
      <x:fill>
        <x:patternFill patternType="solid">
          <x:bgColor rgb="FFFDE7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da88b247494bc7" /><Relationship Type="http://schemas.openxmlformats.org/officeDocument/2006/relationships/theme" Target="/xl/theme/theme1.xml" Id="Raa7bb3ecf60643cf" /><Relationship Type="http://schemas.openxmlformats.org/officeDocument/2006/relationships/sharedStrings" Target="/xl/sharedStrings.xml" Id="Rd9a77017cbc1429a" /><Relationship Type="http://schemas.openxmlformats.org/officeDocument/2006/relationships/worksheet" Target="/xl/worksheets/sheet1.xml" Id="Raf406ba7759c4d14" /><Relationship Type="http://schemas.openxmlformats.org/officeDocument/2006/relationships/worksheet" Target="/xl/worksheets/sheet2.xml" Id="R5de92876d6be4096" /><Relationship Type="http://schemas.openxmlformats.org/officeDocument/2006/relationships/worksheet" Target="/xl/worksheets/sheet3.xml" Id="Rc46f653e2f7e4cdb" /><Relationship Type="http://schemas.openxmlformats.org/officeDocument/2006/relationships/worksheet" Target="/xl/worksheets/sheet4.xml" Id="R0f13a47f5289496b" /></Relationships>
</file>

<file path=xl/tables/table1.xml><?xml version="1.0" encoding="utf-8"?>
<x:table xmlns:x="http://schemas.openxmlformats.org/spreadsheetml/2006/main" id="1" name="ResponsibilityMatrixTable" displayName="ResponsibilityMatrixTable" ref="A1:P13" headerRowCount="1">
  <x:tableColumns count="16">
    <x:tableColumn id="1" name="Control ID"/>
    <x:tableColumn id="2" name="Control area"/>
    <x:tableColumn id="3" name="Control intent"/>
    <x:tableColumn id="4" name="Component / scope"/>
    <x:tableColumn id="5" name="Microsoft responsibility"/>
    <x:tableColumn id="6" name="Customer responsibility"/>
    <x:tableColumn id="7" name="Partner responsibility"/>
    <x:tableColumn id="8" name="Accountable owner"/>
    <x:tableColumn id="9" name="Operator"/>
    <x:tableColumn id="10" name="Evidence source"/>
    <x:tableColumn id="11" name="Test / validation"/>
    <x:tableColumn id="12" name="Cadence"/>
    <x:tableColumn id="13" name="Status"/>
    <x:tableColumn id="14" name="Gap / risk"/>
    <x:tableColumn id="15" name="Remediation owner"/>
    <x:tableColumn id="16" name="Due date"/>
  </x:tableColumns>
  <x:tableStyleInfo name="TableStyleMedium2" showRowStripes="1"/>
</x:table>
</file>

<file path=xl/tables/table2.xml><?xml version="1.0" encoding="utf-8"?>
<x:table xmlns:x="http://schemas.openxmlformats.org/spreadsheetml/2006/main" id="2" name="HipaaCrosswalkTable" displayName="HipaaCrosswalkTable" ref="A1:K10" headerRowCount="1">
  <x:tableColumns count="11">
    <x:tableColumn id="1" name="Crosswalk ID"/>
    <x:tableColumn id="2" name="45 CFR reference"/>
    <x:tableColumn id="3" name="Standard / implementation specification"/>
    <x:tableColumn id="4" name="Control IDs"/>
    <x:tableColumn id="5" name="Architecture location"/>
    <x:tableColumn id="6" name="Owner"/>
    <x:tableColumn id="7" name="Evidence source"/>
    <x:tableColumn id="8" name="Test method"/>
    <x:tableColumn id="9" name="Cadence"/>
    <x:tableColumn id="10" name="Residual gap"/>
    <x:tableColumn id="11" name="Compensating contro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804d058de944e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ea8511e9ca848c3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2" hidden="0" customWidth="1"/>
  </x:cols>
  <x:sheetData>
    <x:row r="1">
      <x:c r="A1" s="4" t="str">
        <x:v>Shared-responsibility and control-evidence template</x:v>
      </x:c>
      <x:c r="B1" s="4"/>
      <x:c r="C1" s="4"/>
      <x:c r="D1" s="4"/>
      <x:c r="E1" s="4"/>
      <x:c r="F1" s="4"/>
    </x:row>
    <x:row r="2">
      <x:c r="A2" s="4"/>
      <x:c r="B2" s="4"/>
      <x:c r="C2" s="4"/>
      <x:c r="D2" s="4"/>
      <x:c r="E2" s="4"/>
      <x:c r="F2" s="4"/>
    </x:row>
    <x:row r="4">
      <x:c r="A4" s="12" t="str">
        <x:v>Rule</x:v>
      </x:c>
      <x:c r="B4" s="12" t="str">
        <x:v>Guidance</x:v>
      </x:c>
    </x:row>
    <x:row r="5">
      <x:c r="A5" s="18" t="str">
        <x:v>Purpose</x:v>
      </x:c>
      <x:c r="B5" s="18" t="str">
        <x:v>Separate Microsoft, customer, partner, and team responsibilities for each control and evidence source.</x:v>
      </x:c>
    </x:row>
    <x:row r="6">
      <x:c r="A6" s="18" t="str">
        <x:v>Compliance boundary</x:v>
      </x:c>
      <x:c r="B6" s="18" t="str">
        <x:v>A completed matrix does not certify HIPAA compliance. It documents control ownership and gaps.</x:v>
      </x:c>
    </x:row>
    <x:row r="7">
      <x:c r="A7" s="18" t="str">
        <x:v>Microsoft responsibility</x:v>
      </x:c>
      <x:c r="B7" s="18" t="str">
        <x:v>Use only responsibilities supported by service documentation or audit scope.</x:v>
      </x:c>
    </x:row>
    <x:row r="8">
      <x:c r="A8" s="18" t="str">
        <x:v>Customer responsibility</x:v>
      </x:c>
      <x:c r="B8" s="18" t="str">
        <x:v>Include configuration, identity, data handling, monitoring, operations, and evidence.</x:v>
      </x:c>
    </x:row>
    <x:row r="9">
      <x:c r="A9" s="18" t="str">
        <x:v>Shared responsibility</x:v>
      </x:c>
      <x:c r="B9" s="18" t="str">
        <x:v>Describe the interaction rather than repeating both columns.</x:v>
      </x:c>
    </x:row>
    <x:row r="10">
      <x:c r="A10" s="18" t="str">
        <x:v>Owner vs operator</x:v>
      </x:c>
      <x:c r="B10" s="18" t="str">
        <x:v>Owner is accountable; operator performs the task.</x:v>
      </x:c>
    </x:row>
    <x:row r="11">
      <x:c r="A11" s="18" t="str">
        <x:v>Evidence</x:v>
      </x:c>
      <x:c r="B11" s="18" t="str">
        <x:v>Name the log/table/report/configuration and where it is retained.</x:v>
      </x:c>
    </x:row>
    <x:row r="12">
      <x:c r="A12" s="18" t="str">
        <x:v>No PHI</x:v>
      </x:c>
      <x:c r="B12" s="18" t="str">
        <x:v>Do not paste PHI, payloads, secrets, tenant IDs, or production endpoints into the workbook.</x:v>
      </x:c>
    </x:row>
  </x:sheetData>
  <x:mergeCells>
    <x:mergeCell ref="A1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30" hidden="0" customWidth="1"/>
    <x:col min="4" max="4" width="25" hidden="0" customWidth="1"/>
    <x:col min="5" max="5" width="34" hidden="0" customWidth="1"/>
    <x:col min="6" max="6" width="42" hidden="0" customWidth="1"/>
    <x:col min="7" max="7" width="30" hidden="0" customWidth="1"/>
    <x:col min="8" max="8" width="22" hidden="0" customWidth="1"/>
    <x:col min="9" max="9" width="22" hidden="0" customWidth="1"/>
    <x:col min="10" max="10" width="34" hidden="0" customWidth="1"/>
    <x:col min="11" max="11" width="34" hidden="0" customWidth="1"/>
    <x:col min="12" max="12" width="16" hidden="0" customWidth="1"/>
    <x:col min="13" max="13" width="14" hidden="0" customWidth="1"/>
    <x:col min="14" max="14" width="32" hidden="0" customWidth="1"/>
    <x:col min="15" max="15" width="22" hidden="0" customWidth="1"/>
    <x:col min="16" max="16" width="14" hidden="0" customWidth="1"/>
  </x:cols>
  <x:sheetData>
    <x:row r="1">
      <x:c r="A1" s="12" t="str">
        <x:v>Control ID</x:v>
      </x:c>
      <x:c r="B1" s="12" t="str">
        <x:v>Control area</x:v>
      </x:c>
      <x:c r="C1" s="12" t="str">
        <x:v>Control intent</x:v>
      </x:c>
      <x:c r="D1" s="12" t="str">
        <x:v>Component / scope</x:v>
      </x:c>
      <x:c r="E1" s="12" t="str">
        <x:v>Microsoft responsibility</x:v>
      </x:c>
      <x:c r="F1" s="12" t="str">
        <x:v>Customer responsibility</x:v>
      </x:c>
      <x:c r="G1" s="12" t="str">
        <x:v>Partner responsibility</x:v>
      </x:c>
      <x:c r="H1" s="12" t="str">
        <x:v>Accountable owner</x:v>
      </x:c>
      <x:c r="I1" s="12" t="str">
        <x:v>Operator</x:v>
      </x:c>
      <x:c r="J1" s="12" t="str">
        <x:v>Evidence source</x:v>
      </x:c>
      <x:c r="K1" s="12" t="str">
        <x:v>Test / validation</x:v>
      </x:c>
      <x:c r="L1" s="12" t="str">
        <x:v>Cadence</x:v>
      </x:c>
      <x:c r="M1" s="12" t="str">
        <x:v>Status</x:v>
      </x:c>
      <x:c r="N1" s="12" t="str">
        <x:v>Gap / risk</x:v>
      </x:c>
      <x:c r="O1" s="12" t="str">
        <x:v>Remediation owner</x:v>
      </x:c>
      <x:c r="P1" s="12" t="str">
        <x:v>Due date</x:v>
      </x:c>
    </x:row>
    <x:row r="2">
      <x:c r="A2" s="18" t="str">
        <x:v>CTRL-001</x:v>
      </x:c>
      <x:c r="B2" s="18" t="str">
        <x:v>Identity</x:v>
      </x:c>
      <x:c r="C2" s="18" t="str">
        <x:v>Authenticate Azure workloads without stored secrets</x:v>
      </x:c>
      <x:c r="D2" s="18" t="str">
        <x:v>ADF, Functions, Logic Apps, FHIR access</x:v>
      </x:c>
      <x:c r="E2" s="18" t="str">
        <x:v>Provide Microsoft Entra and managed identity platform capability</x:v>
      </x:c>
      <x:c r="F2" s="18" t="str">
        <x:v>Enable managed identities; assign minimum Azure RBAC roles; prohibit client secrets</x:v>
      </x:c>
      <x:c r="G2" s="18" t="str">
        <x:v>Protect partner-side credentials and certificates</x:v>
      </x:c>
      <x:c r="H2" s="18" t="str">
        <x:v>Identity &amp; Security</x:v>
      </x:c>
      <x:c r="I2" s="18" t="str">
        <x:v>Platform Engineering</x:v>
      </x:c>
      <x:c r="J2" s="18" t="str">
        <x:v>Role assignments, managed identity config, sign-in/audit logs</x:v>
      </x:c>
      <x:c r="K2" s="18" t="str">
        <x:v>Verify token acquisition and denied excess permissions</x:v>
      </x:c>
      <x:c r="L2" s="18" t="str">
        <x:v>Quarterly + change</x:v>
      </x:c>
      <x:c r="M2" s="18" t="str">
        <x:v>Not Started</x:v>
      </x:c>
      <x:c r="N2" s="18" t="str"/>
      <x:c r="O2" s="18" t="str"/>
      <x:c r="P2" s="18" t="str"/>
    </x:row>
    <x:row r="3">
      <x:c r="A3" s="18" t="str">
        <x:v>CTRL-002</x:v>
      </x:c>
      <x:c r="B3" s="18" t="str">
        <x:v>Privileged access</x:v>
      </x:c>
      <x:c r="C3" s="18" t="str">
        <x:v>Use time-bound human elevation</x:v>
      </x:c>
      <x:c r="D3" s="18" t="str">
        <x:v>Azure control plane and data plane</x:v>
      </x:c>
      <x:c r="E3" s="18" t="str">
        <x:v>Provide Entra ID, Azure RBAC, and PIM capabilities</x:v>
      </x:c>
      <x:c r="F3" s="18" t="str">
        <x:v>Use groups, MFA/Conditional Access, PIM, access reviews, emergency-access controls</x:v>
      </x:c>
      <x:c r="G3" s="18" t="str">
        <x:v>Provide named partner contacts and remove leavers</x:v>
      </x:c>
      <x:c r="H3" s="18" t="str">
        <x:v>Identity &amp; Security</x:v>
      </x:c>
      <x:c r="I3" s="18" t="str">
        <x:v>Security Operations</x:v>
      </x:c>
      <x:c r="J3" s="18" t="str">
        <x:v>PIM activation, access review, role assignment change logs</x:v>
      </x:c>
      <x:c r="K3" s="18" t="str">
        <x:v>Sample access review and expired activation</x:v>
      </x:c>
      <x:c r="L3" s="18" t="str">
        <x:v>Quarterly</x:v>
      </x:c>
      <x:c r="M3" s="18" t="str">
        <x:v>Not Started</x:v>
      </x:c>
      <x:c r="N3" s="18" t="str"/>
      <x:c r="O3" s="18" t="str"/>
      <x:c r="P3" s="18" t="str"/>
    </x:row>
    <x:row r="4">
      <x:c r="A4" s="18" t="str">
        <x:v>CTRL-003</x:v>
      </x:c>
      <x:c r="B4" s="18" t="str">
        <x:v>Key management</x:v>
      </x:c>
      <x:c r="C4" s="18" t="str">
        <x:v>Protect non-eliminable keys/certificates/secrets</x:v>
      </x:c>
      <x:c r="D4" s="18" t="str">
        <x:v>Azure Key Vault</x:v>
      </x:c>
      <x:c r="E4" s="18" t="str">
        <x:v>Operate the Key Vault service and platform controls</x:v>
      </x:c>
      <x:c r="F4" s="18" t="str">
        <x:v>Use Azure RBAC, private access, soft delete, purge protection; rotate material</x:v>
      </x:c>
      <x:c r="G4" s="18" t="str">
        <x:v>Protect partner-controlled certificates</x:v>
      </x:c>
      <x:c r="H4" s="18" t="str">
        <x:v>Platform Security</x:v>
      </x:c>
      <x:c r="I4" s="18" t="str">
        <x:v>Platform Engineering</x:v>
      </x:c>
      <x:c r="J4" s="18" t="str">
        <x:v>Vault configuration, role assignments, rotation evidence</x:v>
      </x:c>
      <x:c r="K4" s="18" t="str">
        <x:v>Configuration review and recovery test</x:v>
      </x:c>
      <x:c r="L4" s="18" t="str">
        <x:v>Quarterly</x:v>
      </x:c>
      <x:c r="M4" s="18" t="str">
        <x:v>Not Started</x:v>
      </x:c>
      <x:c r="N4" s="18" t="str"/>
      <x:c r="O4" s="18" t="str"/>
      <x:c r="P4" s="18" t="str"/>
    </x:row>
    <x:row r="5">
      <x:c r="A5" s="18" t="str">
        <x:v>CTRL-004</x:v>
      </x:c>
      <x:c r="B5" s="18" t="str">
        <x:v>Network isolation</x:v>
      </x:c>
      <x:c r="C5" s="18" t="str">
        <x:v>Keep ePHI traffic on approved private paths</x:v>
      </x:c>
      <x:c r="D5" s="18" t="str">
        <x:v>AHDS, storage, ADF, partner connectivity</x:v>
      </x:c>
      <x:c r="E5" s="18" t="str">
        <x:v>Provide Private Link/private endpoint and platform network features</x:v>
      </x:c>
      <x:c r="F5" s="18" t="str">
        <x:v>Disable public access where supported; configure private DNS and approved routing</x:v>
      </x:c>
      <x:c r="G5" s="18" t="str">
        <x:v>Maintain partner VPN/ExpressRoute and firewall policy</x:v>
      </x:c>
      <x:c r="H5" s="18" t="str">
        <x:v>Network Security</x:v>
      </x:c>
      <x:c r="I5" s="18" t="str">
        <x:v>Platform Engineering</x:v>
      </x:c>
      <x:c r="J5" s="18" t="str">
        <x:v>Private endpoint state, DNS resolution, flow logs</x:v>
      </x:c>
      <x:c r="K5" s="18" t="str">
        <x:v>Connectivity test from approved network and public-deny test</x:v>
      </x:c>
      <x:c r="L5" s="18" t="str">
        <x:v>Quarterly + change</x:v>
      </x:c>
      <x:c r="M5" s="18" t="str">
        <x:v>Not Started</x:v>
      </x:c>
      <x:c r="N5" s="18" t="str"/>
      <x:c r="O5" s="18" t="str"/>
      <x:c r="P5" s="18" t="str"/>
    </x:row>
    <x:row r="6">
      <x:c r="A6" s="18" t="str">
        <x:v>CTRL-005</x:v>
      </x:c>
      <x:c r="B6" s="18" t="str">
        <x:v>Audit logging</x:v>
      </x:c>
      <x:c r="C6" s="18" t="str">
        <x:v>Record and support examination of system activity</x:v>
      </x:c>
      <x:c r="D6" s="18" t="str">
        <x:v>FHIR service, ADF, identity, automation</x:v>
      </x:c>
      <x:c r="E6" s="18" t="str">
        <x:v>Emit documented service logs when diagnostic settings are enabled</x:v>
      </x:c>
      <x:c r="F6" s="18" t="str">
        <x:v>Enable diagnostic settings, centralize logs, alert on freshness gaps, protect evidence</x:v>
      </x:c>
      <x:c r="G6" s="18" t="str">
        <x:v>Provide partner logs for source-side investigation</x:v>
      </x:c>
      <x:c r="H6" s="18" t="str">
        <x:v>Security Operations</x:v>
      </x:c>
      <x:c r="I6" s="18" t="str">
        <x:v>Platform Operations</x:v>
      </x:c>
      <x:c r="J6" s="18" t="str">
        <x:v>MicrosoftHealthcareApisAuditLogs, ADFPipelineRun, ADFActivityRun, Activity Log</x:v>
      </x:c>
      <x:c r="K6" s="18" t="str">
        <x:v>Run freshness query and sample trace by correlation ID</x:v>
      </x:c>
      <x:c r="L6" s="18" t="str">
        <x:v>Continuous</x:v>
      </x:c>
      <x:c r="M6" s="18" t="str">
        <x:v>Not Started</x:v>
      </x:c>
      <x:c r="N6" s="18" t="str"/>
      <x:c r="O6" s="18" t="str"/>
      <x:c r="P6" s="18" t="str"/>
    </x:row>
    <x:row r="7">
      <x:c r="A7" s="18" t="str">
        <x:v>CTRL-006</x:v>
      </x:c>
      <x:c r="B7" s="18" t="str">
        <x:v>Telemetry privacy</x:v>
      </x:c>
      <x:c r="C7" s="18" t="str">
        <x:v>Prevent ePHI and secrets in telemetry</x:v>
      </x:c>
      <x:c r="D7" s="18" t="str">
        <x:v>All services and dashboards</x:v>
      </x:c>
      <x:c r="E7" s="18" t="str">
        <x:v>Provide configurable logging services</x:v>
      </x:c>
      <x:c r="F7" s="18" t="str">
        <x:v>Define prohibited fields, normalize identifiers, review custom dimensions and tickets</x:v>
      </x:c>
      <x:c r="G7" s="18" t="str">
        <x:v>Avoid PHI in partner support tickets</x:v>
      </x:c>
      <x:c r="H7" s="18" t="str">
        <x:v>Privacy Officer</x:v>
      </x:c>
      <x:c r="I7" s="18" t="str">
        <x:v>Engineering teams</x:v>
      </x:c>
      <x:c r="J7" s="18" t="str">
        <x:v>Logging schema, code/config review, dashboard fields</x:v>
      </x:c>
      <x:c r="K7" s="18" t="str">
        <x:v>Search for prohibited field patterns and inspect samples</x:v>
      </x:c>
      <x:c r="L7" s="18" t="str">
        <x:v>Monthly + release</x:v>
      </x:c>
      <x:c r="M7" s="18" t="str">
        <x:v>Not Started</x:v>
      </x:c>
      <x:c r="N7" s="18" t="str"/>
      <x:c r="O7" s="18" t="str"/>
      <x:c r="P7" s="18" t="str"/>
    </x:row>
    <x:row r="8">
      <x:c r="A8" s="18" t="str">
        <x:v>CTRL-007</x:v>
      </x:c>
      <x:c r="B8" s="18" t="str">
        <x:v>Data conversion</x:v>
      </x:c>
      <x:c r="C8" s="18" t="str">
        <x:v>Convert source messages to valid FHIR R4</x:v>
      </x:c>
      <x:c r="D8" s="18" t="str">
        <x:v>HL7v2 partners and conversion service</x:v>
      </x:c>
      <x:c r="E8" s="18" t="str">
        <x:v>Provide FHIR service $convert-data capability</x:v>
      </x:c>
      <x:c r="F8" s="18" t="str">
        <x:v>Govern templates, version changes, contract tests, and validation failures</x:v>
      </x:c>
      <x:c r="G8" s="18" t="str">
        <x:v>Notify format changes and provide synthetic test messages</x:v>
      </x:c>
      <x:c r="H8" s="18" t="str">
        <x:v>Integration Engineering</x:v>
      </x:c>
      <x:c r="I8" s="18" t="str">
        <x:v>Integration Engineering</x:v>
      </x:c>
      <x:c r="J8" s="18" t="str">
        <x:v>Template version, test results, conversion error metrics</x:v>
      </x:c>
      <x:c r="K8" s="18" t="str">
        <x:v>Contract test and rollback test</x:v>
      </x:c>
      <x:c r="L8" s="18" t="str">
        <x:v>Per release</x:v>
      </x:c>
      <x:c r="M8" s="18" t="str">
        <x:v>Not Started</x:v>
      </x:c>
      <x:c r="N8" s="18" t="str"/>
      <x:c r="O8" s="18" t="str"/>
      <x:c r="P8" s="18" t="str"/>
    </x:row>
    <x:row r="9">
      <x:c r="A9" s="18" t="str">
        <x:v>CTRL-008</x:v>
      </x:c>
      <x:c r="B9" s="18" t="str">
        <x:v>Validation</x:v>
      </x:c>
      <x:c r="C9" s="18" t="str">
        <x:v>Reject or quarantine invalid data before persistence</x:v>
      </x:c>
      <x:c r="D9" s="18" t="str">
        <x:v>FHIR pipeline</x:v>
      </x:c>
      <x:c r="E9" s="18" t="str">
        <x:v>Provide FHIR API behavior</x:v>
      </x:c>
      <x:c r="F9" s="18" t="str">
        <x:v>Validate profiles, terminology, required fields, and integrity; do not retry validation errors</x:v>
      </x:c>
      <x:c r="G9" s="18" t="str">
        <x:v>Provide mapping rules and profile expectations</x:v>
      </x:c>
      <x:c r="H9" s="18" t="str">
        <x:v>Data Governance</x:v>
      </x:c>
      <x:c r="I9" s="18" t="str">
        <x:v>Integration Engineering</x:v>
      </x:c>
      <x:c r="J9" s="18" t="str">
        <x:v>Validation results, quarantine records, profile versions</x:v>
      </x:c>
      <x:c r="K9" s="18" t="str">
        <x:v>Inject invalid synthetic samples</x:v>
      </x:c>
      <x:c r="L9" s="18" t="str">
        <x:v>Per release</x:v>
      </x:c>
      <x:c r="M9" s="18" t="str">
        <x:v>Not Started</x:v>
      </x:c>
      <x:c r="N9" s="18" t="str"/>
      <x:c r="O9" s="18" t="str"/>
      <x:c r="P9" s="18" t="str"/>
    </x:row>
    <x:row r="10">
      <x:c r="A10" s="18" t="str">
        <x:v>CTRL-009</x:v>
      </x:c>
      <x:c r="B10" s="18" t="str">
        <x:v>Resilience</x:v>
      </x:c>
      <x:c r="C10" s="18" t="str">
        <x:v>Handle transient failures without duplication</x:v>
      </x:c>
      <x:c r="D10" s="18" t="str">
        <x:v>ADF, queues, FHIR import</x:v>
      </x:c>
      <x:c r="E10" s="18" t="str">
        <x:v>Provide service retry/availability features per service</x:v>
      </x:c>
      <x:c r="F10" s="18" t="str">
        <x:v>Use bounded retry/backoff/jitter, idempotency, duplicate detection, reconciliation</x:v>
      </x:c>
      <x:c r="G10" s="18" t="str">
        <x:v>Respect replay windows and change notifications</x:v>
      </x:c>
      <x:c r="H10" s="18" t="str">
        <x:v>Integration Engineering</x:v>
      </x:c>
      <x:c r="I10" s="18" t="str">
        <x:v>Platform Operations</x:v>
      </x:c>
      <x:c r="J10" s="18" t="str">
        <x:v>Run IDs, idempotency ledger, duplicate report</x:v>
      </x:c>
      <x:c r="K10" s="18" t="str">
        <x:v>Failure injection and replay test</x:v>
      </x:c>
      <x:c r="L10" s="18" t="str">
        <x:v>Quarterly</x:v>
      </x:c>
      <x:c r="M10" s="18" t="str">
        <x:v>Not Started</x:v>
      </x:c>
      <x:c r="N10" s="18" t="str"/>
      <x:c r="O10" s="18" t="str"/>
      <x:c r="P10" s="18" t="str"/>
    </x:row>
    <x:row r="11">
      <x:c r="A11" s="18" t="str">
        <x:v>CTRL-010</x:v>
      </x:c>
      <x:c r="B11" s="18" t="str">
        <x:v>Automation safety</x:v>
      </x:c>
      <x:c r="C11" s="18" t="str">
        <x:v>Control high-impact remediation</x:v>
      </x:c>
      <x:c r="D11" s="18" t="str">
        <x:v>Logic Apps, Functions, Automation</x:v>
      </x:c>
      <x:c r="E11" s="18" t="str">
        <x:v>Provide workflow/runtime and identity capabilities</x:v>
      </x:c>
      <x:c r="F11" s="18" t="str">
        <x:v>Classify actions; require approval, rollback, timeout, validation, and audit metadata</x:v>
      </x:c>
      <x:c r="G11" s="18" t="str">
        <x:v>Approve partner-impacting actions when required</x:v>
      </x:c>
      <x:c r="H11" s="18" t="str">
        <x:v>On-call Lead</x:v>
      </x:c>
      <x:c r="I11" s="18" t="str">
        <x:v>Platform Operations</x:v>
      </x:c>
      <x:c r="J11" s="18" t="str">
        <x:v>Workflow run history, approval record, change ticket</x:v>
      </x:c>
      <x:c r="K11" s="18" t="str">
        <x:v>Dry run and rollback validation</x:v>
      </x:c>
      <x:c r="L11" s="18" t="str">
        <x:v>Quarterly + change</x:v>
      </x:c>
      <x:c r="M11" s="18" t="str">
        <x:v>Not Started</x:v>
      </x:c>
      <x:c r="N11" s="18" t="str"/>
      <x:c r="O11" s="18" t="str"/>
      <x:c r="P11" s="18" t="str"/>
    </x:row>
    <x:row r="12">
      <x:c r="A12" s="18" t="str">
        <x:v>CTRL-011</x:v>
      </x:c>
      <x:c r="B12" s="18" t="str">
        <x:v>Evidence retention</x:v>
      </x:c>
      <x:c r="C12" s="18" t="str">
        <x:v>Retain evidence according to approved policy</x:v>
      </x:c>
      <x:c r="D12" s="18" t="str">
        <x:v>Log Analytics and archive storage</x:v>
      </x:c>
      <x:c r="E12" s="18" t="str">
        <x:v>Provide retention/immutability features within service scope</x:v>
      </x:c>
      <x:c r="F12" s="18" t="str">
        <x:v>Set organization-approved retention, owner, access, legal hold, and disposal</x:v>
      </x:c>
      <x:c r="G12" s="18" t="str">
        <x:v>Retain partner evidence per agreement</x:v>
      </x:c>
      <x:c r="H12" s="18" t="str">
        <x:v>Privacy &amp; Security</x:v>
      </x:c>
      <x:c r="I12" s="18" t="str">
        <x:v>Security Operations</x:v>
      </x:c>
      <x:c r="J12" s="18" t="str">
        <x:v>Retention configuration, policy approval, disposal record</x:v>
      </x:c>
      <x:c r="K12" s="18" t="str">
        <x:v>Annual review and sample retrieval</x:v>
      </x:c>
      <x:c r="L12" s="18" t="str">
        <x:v>Annual</x:v>
      </x:c>
      <x:c r="M12" s="18" t="str">
        <x:v>Not Started</x:v>
      </x:c>
      <x:c r="N12" s="18" t="str"/>
      <x:c r="O12" s="18" t="str"/>
      <x:c r="P12" s="18" t="str"/>
    </x:row>
    <x:row r="13">
      <x:c r="A13" s="18" t="str">
        <x:v>CTRL-012</x:v>
      </x:c>
      <x:c r="B13" s="18" t="str">
        <x:v>Incident response</x:v>
      </x:c>
      <x:c r="C13" s="18" t="str">
        <x:v>Provide actionable runbooks and escalation</x:v>
      </x:c>
      <x:c r="D13" s="18" t="str">
        <x:v>Operations process</x:v>
      </x:c>
      <x:c r="E13" s="18" t="str">
        <x:v>N/A beyond service support</x:v>
      </x:c>
      <x:c r="F13" s="18" t="str">
        <x:v>Maintain tested runbooks, on-call roles, communications, evidence capture, and lessons learned</x:v>
      </x:c>
      <x:c r="G13" s="18" t="str">
        <x:v>Provide partner escalation path and maintenance windows</x:v>
      </x:c>
      <x:c r="H13" s="18" t="str">
        <x:v>Operations Manager</x:v>
      </x:c>
      <x:c r="I13" s="18" t="str">
        <x:v>On-call team</x:v>
      </x:c>
      <x:c r="J13" s="18" t="str">
        <x:v>Runbook version, exercise record, incident timeline</x:v>
      </x:c>
      <x:c r="K13" s="18" t="str">
        <x:v>Tabletop exercise</x:v>
      </x:c>
      <x:c r="L13" s="18" t="str">
        <x:v>Semiannual</x:v>
      </x:c>
      <x:c r="M13" s="18" t="str">
        <x:v>Not Started</x:v>
      </x:c>
      <x:c r="N13" s="18" t="str"/>
      <x:c r="O13" s="18" t="str"/>
      <x:c r="P13" s="18" t="str"/>
    </x:row>
  </x:sheetData>
  <x:conditionalFormatting sqref="M2:M13">
    <x:cfRule type="expression" dxfId="0" priority="1">
      <x:formula>M2="Complete"</x:formula>
    </x:cfRule>
    <x:cfRule type="expression" dxfId="1" priority="2">
      <x:formula>M2="Blocked"</x:formula>
    </x:cfRule>
  </x:conditionalFormatting>
  <x:dataValidations count="1">
    <x:dataValidation type="list" sqref="M2:M13">
      <x:formula1>"Not Started,In Progress,Blocked,Complete,Not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804d058de944e2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36" hidden="0" customWidth="1"/>
    <x:col min="4" max="4" width="22" hidden="0" customWidth="1"/>
    <x:col min="5" max="5" width="30" hidden="0" customWidth="1"/>
    <x:col min="6" max="6" width="22" hidden="0" customWidth="1"/>
    <x:col min="7" max="7" width="34" hidden="0" customWidth="1"/>
    <x:col min="8" max="8" width="34" hidden="0" customWidth="1"/>
    <x:col min="9" max="9" width="16" hidden="0" customWidth="1"/>
    <x:col min="10" max="10" width="32" hidden="0" customWidth="1"/>
    <x:col min="11" max="11" width="32" hidden="0" customWidth="1"/>
  </x:cols>
  <x:sheetData>
    <x:row r="1">
      <x:c r="A1" s="12" t="str">
        <x:v>Crosswalk ID</x:v>
      </x:c>
      <x:c r="B1" s="12" t="str">
        <x:v>45 CFR reference</x:v>
      </x:c>
      <x:c r="C1" s="12" t="str">
        <x:v>Standard / implementation specification</x:v>
      </x:c>
      <x:c r="D1" s="12" t="str">
        <x:v>Control IDs</x:v>
      </x:c>
      <x:c r="E1" s="12" t="str">
        <x:v>Architecture location</x:v>
      </x:c>
      <x:c r="F1" s="12" t="str">
        <x:v>Owner</x:v>
      </x:c>
      <x:c r="G1" s="12" t="str">
        <x:v>Evidence source</x:v>
      </x:c>
      <x:c r="H1" s="12" t="str">
        <x:v>Test method</x:v>
      </x:c>
      <x:c r="I1" s="12" t="str">
        <x:v>Cadence</x:v>
      </x:c>
      <x:c r="J1" s="12" t="str">
        <x:v>Residual gap</x:v>
      </x:c>
      <x:c r="K1" s="12" t="str">
        <x:v>Compensating control</x:v>
      </x:c>
    </x:row>
    <x:row r="2">
      <x:c r="A2" s="18" t="str">
        <x:v>HIP-001</x:v>
      </x:c>
      <x:c r="B2" s="18" t="str">
        <x:v>164.312(a)(1)</x:v>
      </x:c>
      <x:c r="C2" s="18" t="str">
        <x:v>Access control standard</x:v>
      </x:c>
      <x:c r="D2" s="18" t="str">
        <x:v>CTRL-001, CTRL-002, CTRL-004</x:v>
      </x:c>
      <x:c r="E2" s="18" t="str">
        <x:v>Identity and private access design</x:v>
      </x:c>
      <x:c r="F2" s="18" t="str">
        <x:v>Identity &amp; Security</x:v>
      </x:c>
      <x:c r="G2" s="18" t="str">
        <x:v>Role assignments, PIM, access logs</x:v>
      </x:c>
      <x:c r="H2" s="18" t="str">
        <x:v>Authorized/unauthorized access test</x:v>
      </x:c>
      <x:c r="I2" s="18" t="str">
        <x:v>Quarterly</x:v>
      </x:c>
      <x:c r="J2" s="18" t="str"/>
      <x:c r="K2" s="18" t="str"/>
    </x:row>
    <x:row r="3">
      <x:c r="A3" s="18" t="str">
        <x:v>HIP-002</x:v>
      </x:c>
      <x:c r="B3" s="18" t="str">
        <x:v>164.312(a)(2)(i)</x:v>
      </x:c>
      <x:c r="C3" s="18" t="str">
        <x:v>Unique user identification</x:v>
      </x:c>
      <x:c r="D3" s="18" t="str">
        <x:v>CTRL-002</x:v>
      </x:c>
      <x:c r="E3" s="18" t="str">
        <x:v>Human access</x:v>
      </x:c>
      <x:c r="F3" s="18" t="str">
        <x:v>Identity &amp; Security</x:v>
      </x:c>
      <x:c r="G3" s="18" t="str">
        <x:v>Named accounts/groups, sign-in logs</x:v>
      </x:c>
      <x:c r="H3" s="18" t="str">
        <x:v>Verify no shared privileged accounts</x:v>
      </x:c>
      <x:c r="I3" s="18" t="str">
        <x:v>Quarterly</x:v>
      </x:c>
      <x:c r="J3" s="18" t="str"/>
      <x:c r="K3" s="18" t="str"/>
    </x:row>
    <x:row r="4">
      <x:c r="A4" s="18" t="str">
        <x:v>HIP-003</x:v>
      </x:c>
      <x:c r="B4" s="18" t="str">
        <x:v>164.312(a)(2)(ii)</x:v>
      </x:c>
      <x:c r="C4" s="18" t="str">
        <x:v>Emergency access procedure</x:v>
      </x:c>
      <x:c r="D4" s="18" t="str">
        <x:v>CTRL-002, CTRL-012</x:v>
      </x:c>
      <x:c r="E4" s="18" t="str">
        <x:v>Emergency-access and runbook design</x:v>
      </x:c>
      <x:c r="F4" s="18" t="str">
        <x:v>Security Operations</x:v>
      </x:c>
      <x:c r="G4" s="18" t="str">
        <x:v>Break-glass procedure and use log</x:v>
      </x:c>
      <x:c r="H4" s="18" t="str">
        <x:v>Tabletop and access test</x:v>
      </x:c>
      <x:c r="I4" s="18" t="str">
        <x:v>Semiannual</x:v>
      </x:c>
      <x:c r="J4" s="18" t="str"/>
      <x:c r="K4" s="18" t="str"/>
    </x:row>
    <x:row r="5">
      <x:c r="A5" s="18" t="str">
        <x:v>HIP-004</x:v>
      </x:c>
      <x:c r="B5" s="18" t="str">
        <x:v>164.312(a)(2)(iii)</x:v>
      </x:c>
      <x:c r="C5" s="18" t="str">
        <x:v>Automatic logoff (addressable)</x:v>
      </x:c>
      <x:c r="D5" s="18" t="str">
        <x:v>CTRL-002</x:v>
      </x:c>
      <x:c r="E5" s="18" t="str">
        <x:v>Human admin and application sessions</x:v>
      </x:c>
      <x:c r="F5" s="18" t="str">
        <x:v>Identity &amp; Security</x:v>
      </x:c>
      <x:c r="G5" s="18" t="str">
        <x:v>Session/Conditional Access configuration</x:v>
      </x:c>
      <x:c r="H5" s="18" t="str">
        <x:v>Configuration review</x:v>
      </x:c>
      <x:c r="I5" s="18" t="str">
        <x:v>Quarterly</x:v>
      </x:c>
      <x:c r="J5" s="18" t="str"/>
      <x:c r="K5" s="18" t="str"/>
    </x:row>
    <x:row r="6">
      <x:c r="A6" s="18" t="str">
        <x:v>HIP-005</x:v>
      </x:c>
      <x:c r="B6" s="18" t="str">
        <x:v>164.312(a)(2)(iv)</x:v>
      </x:c>
      <x:c r="C6" s="18" t="str">
        <x:v>Encryption and decryption (addressable)</x:v>
      </x:c>
      <x:c r="D6" s="18" t="str">
        <x:v>CTRL-003, CTRL-004</x:v>
      </x:c>
      <x:c r="E6" s="18" t="str">
        <x:v>Key management, storage, network</x:v>
      </x:c>
      <x:c r="F6" s="18" t="str">
        <x:v>Platform Security</x:v>
      </x:c>
      <x:c r="G6" s="18" t="str">
        <x:v>Encryption configuration, key records</x:v>
      </x:c>
      <x:c r="H6" s="18" t="str">
        <x:v>Configuration and recovery test</x:v>
      </x:c>
      <x:c r="I6" s="18" t="str">
        <x:v>Quarterly</x:v>
      </x:c>
      <x:c r="J6" s="18" t="str"/>
      <x:c r="K6" s="18" t="str"/>
    </x:row>
    <x:row r="7">
      <x:c r="A7" s="18" t="str">
        <x:v>HIP-006</x:v>
      </x:c>
      <x:c r="B7" s="18" t="str">
        <x:v>164.312(b)</x:v>
      </x:c>
      <x:c r="C7" s="18" t="str">
        <x:v>Audit controls</x:v>
      </x:c>
      <x:c r="D7" s="18" t="str">
        <x:v>CTRL-005, CTRL-006, CTRL-011</x:v>
      </x:c>
      <x:c r="E7" s="18" t="str">
        <x:v>FHIR, ADF, identity, automation, archive</x:v>
      </x:c>
      <x:c r="F7" s="18" t="str">
        <x:v>Security Operations</x:v>
      </x:c>
      <x:c r="G7" s="18" t="str">
        <x:v>Audit tables, activity logs, archive</x:v>
      </x:c>
      <x:c r="H7" s="18" t="str">
        <x:v>Trace activity by correlation ID and test freshness</x:v>
      </x:c>
      <x:c r="I7" s="18" t="str">
        <x:v>Continuous</x:v>
      </x:c>
      <x:c r="J7" s="18" t="str"/>
      <x:c r="K7" s="18" t="str"/>
    </x:row>
    <x:row r="8">
      <x:c r="A8" s="18" t="str">
        <x:v>HIP-007</x:v>
      </x:c>
      <x:c r="B8" s="18" t="str">
        <x:v>164.312(c)(1)</x:v>
      </x:c>
      <x:c r="C8" s="18" t="str">
        <x:v>Integrity standard</x:v>
      </x:c>
      <x:c r="D8" s="18" t="str">
        <x:v>CTRL-007, CTRL-008, CTRL-009</x:v>
      </x:c>
      <x:c r="E8" s="18" t="str">
        <x:v>Conversion, validation, reconciliation</x:v>
      </x:c>
      <x:c r="F8" s="18" t="str">
        <x:v>Data Governance</x:v>
      </x:c>
      <x:c r="G8" s="18" t="str">
        <x:v>Validation results, duplicate report</x:v>
      </x:c>
      <x:c r="H8" s="18" t="str">
        <x:v>Synthetic tamper/duplicate test</x:v>
      </x:c>
      <x:c r="I8" s="18" t="str">
        <x:v>Quarterly</x:v>
      </x:c>
      <x:c r="J8" s="18" t="str"/>
      <x:c r="K8" s="18" t="str"/>
    </x:row>
    <x:row r="9">
      <x:c r="A9" s="18" t="str">
        <x:v>HIP-008</x:v>
      </x:c>
      <x:c r="B9" s="18" t="str">
        <x:v>164.312(d)</x:v>
      </x:c>
      <x:c r="C9" s="18" t="str">
        <x:v>Person or entity authentication</x:v>
      </x:c>
      <x:c r="D9" s="18" t="str">
        <x:v>CTRL-001, CTRL-002</x:v>
      </x:c>
      <x:c r="E9" s="18" t="str">
        <x:v>Human and workload identity</x:v>
      </x:c>
      <x:c r="F9" s="18" t="str">
        <x:v>Identity &amp; Security</x:v>
      </x:c>
      <x:c r="G9" s="18" t="str">
        <x:v>Token/sign-in evidence</x:v>
      </x:c>
      <x:c r="H9" s="18" t="str">
        <x:v>Positive and negative authentication test</x:v>
      </x:c>
      <x:c r="I9" s="18" t="str">
        <x:v>Quarterly</x:v>
      </x:c>
      <x:c r="J9" s="18" t="str"/>
      <x:c r="K9" s="18" t="str"/>
    </x:row>
    <x:row r="10">
      <x:c r="A10" s="18" t="str">
        <x:v>HIP-009</x:v>
      </x:c>
      <x:c r="B10" s="18" t="str">
        <x:v>164.312(e)(1)</x:v>
      </x:c>
      <x:c r="C10" s="18" t="str">
        <x:v>Transmission security standard</x:v>
      </x:c>
      <x:c r="D10" s="18" t="str">
        <x:v>CTRL-004</x:v>
      </x:c>
      <x:c r="E10" s="18" t="str">
        <x:v>Partner and Azure network paths</x:v>
      </x:c>
      <x:c r="F10" s="18" t="str">
        <x:v>Network Security</x:v>
      </x:c>
      <x:c r="G10" s="18" t="str">
        <x:v>TLS/private-path config and flow logs</x:v>
      </x:c>
      <x:c r="H10" s="18" t="str">
        <x:v>Private DNS, route, and public-deny test</x:v>
      </x:c>
      <x:c r="I10" s="18" t="str">
        <x:v>Quarterly</x:v>
      </x:c>
      <x:c r="J10" s="18" t="str"/>
      <x:c r="K10" s="18" t="str"/>
    </x:row>
  </x:sheetData>
  <x:pageMargins left="0.7" right="0.7" top="0.75" bottom="0.75" header="0.3" footer="0.3"/>
  <x:tableParts count="1">
    <x:tablePart xmlns:r="http://schemas.openxmlformats.org/officeDocument/2006/relationships" r:id="Rcea8511e9ca848c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6" hidden="0" customWidth="1"/>
    <x:col min="4" max="4" width="38" hidden="0" customWidth="1"/>
  </x:cols>
  <x:sheetData>
    <x:row r="1">
      <x:c r="A1" s="12" t="str">
        <x:v>KPI</x:v>
      </x:c>
      <x:c r="B1" s="12" t="str">
        <x:v>Value</x:v>
      </x:c>
      <x:c r="C1" s="12" t="str">
        <x:v>Target</x:v>
      </x:c>
      <x:c r="D1" s="12" t="str">
        <x:v>Interpretation</x:v>
      </x:c>
    </x:row>
    <x:row r="2">
      <x:c r="A2" s="18" t="str">
        <x:v>Controls total</x:v>
      </x:c>
      <x:c r="B2" s="18" t="n">
        <x:f>COUNTA('Responsibility Matrix'!A2:A13)</x:f>
        <x:v>12</x:v>
      </x:c>
      <x:c r="C2" s="18" t="str">
        <x:v>&gt;0</x:v>
      </x:c>
      <x:c r="D2" s="18" t="str">
        <x:v>Template rows</x:v>
      </x:c>
    </x:row>
    <x:row r="3">
      <x:c r="A3" s="18" t="str">
        <x:v>Complete</x:v>
      </x:c>
      <x:c r="B3" s="18" t="n">
        <x:f>COUNTIF('Responsibility Matrix'!M2:M13,"Complete")</x:f>
        <x:v>0</x:v>
      </x:c>
      <x:c r="C3" s="18" t="str">
        <x:v>All required</x:v>
      </x:c>
      <x:c r="D3" s="18" t="str">
        <x:v>Status = Complete</x:v>
      </x:c>
    </x:row>
    <x:row r="4">
      <x:c r="A4" s="18" t="str">
        <x:v>Blocked</x:v>
      </x:c>
      <x:c r="B4" s="18" t="n">
        <x:f>COUNTIF('Responsibility Matrix'!M2:M13,"Blocked")</x:f>
        <x:v>0</x:v>
      </x:c>
      <x:c r="C4" s="18" t="str">
        <x:v>0</x:v>
      </x:c>
      <x:c r="D4" s="18" t="str">
        <x:v>Needs escalation</x:v>
      </x:c>
    </x:row>
    <x:row r="5">
      <x:c r="A5" s="18" t="str">
        <x:v>Without owner</x:v>
      </x:c>
      <x:c r="B5" s="18" t="n">
        <x:f>COUNTBLANK('Responsibility Matrix'!H2:H13)</x:f>
        <x:v>0</x:v>
      </x:c>
      <x:c r="C5" s="18" t="str">
        <x:v>0</x:v>
      </x:c>
      <x:c r="D5" s="18" t="str">
        <x:v>Accountability gap</x:v>
      </x:c>
    </x:row>
    <x:row r="6">
      <x:c r="A6" s="18" t="str">
        <x:v>Without evidence</x:v>
      </x:c>
      <x:c r="B6" s="18" t="n">
        <x:f>COUNTBLANK('Responsibility Matrix'!J2:J13)</x:f>
        <x:v>0</x:v>
      </x:c>
      <x:c r="C6" s="18" t="str">
        <x:v>0</x:v>
      </x:c>
      <x:c r="D6" s="18" t="str">
        <x:v>Auditability gap</x:v>
      </x:c>
    </x:row>
    <x:row r="7">
      <x:c r="A7" s="18" t="str">
        <x:v>Completion %</x:v>
      </x:c>
      <x:c r="B7" s="22" t="n">
        <x:f>IF(B2=0,0,B3/B2)</x:f>
        <x:v>0</x:v>
      </x:c>
      <x:c r="C7" s="18" t="str">
        <x:v>100%</x:v>
      </x:c>
      <x:c r="D7" s="18" t="str">
        <x:v>Progress</x:v>
      </x:c>
    </x:row>
  </x:sheetData>
  <x:conditionalFormatting sqref="B3:B7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156082"/>
            </x14:dataBar>
          </x14:cfRule>
          <xm:sqref>B3:B7</xm:sqref>
        </x14:conditionalFormatting>
      </x14:conditionalFormattings>
    </x:ext>
  </x:extLst>
</x:worksheet>
</file>