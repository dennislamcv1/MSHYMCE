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48491874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e7cd632bad24739"/>
    <x:sheet xmlns:r="http://schemas.openxmlformats.org/officeDocument/2006/relationships" name="Decision Matrix" sheetId="2" r:id="Rfbef29fb1bc04eea"/>
    <x:sheet xmlns:r="http://schemas.openxmlformats.org/officeDocument/2006/relationships" name="Risk Scoring" sheetId="3" r:id="R0527811a097a4445"/>
    <x:sheet xmlns:r="http://schemas.openxmlformats.org/officeDocument/2006/relationships" name="Dashboard" sheetId="4" r:id="Re4c2498850ac4607"/>
    <x:sheet xmlns:r="http://schemas.openxmlformats.org/officeDocument/2006/relationships" name="References" sheetId="5" r:id="R6ab7230ed501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28dc7e5684a78" /><Relationship Type="http://schemas.openxmlformats.org/officeDocument/2006/relationships/theme" Target="/xl/theme/theme1.xml" Id="Ra56a5357f577400e" /><Relationship Type="http://schemas.openxmlformats.org/officeDocument/2006/relationships/sharedStrings" Target="/xl/sharedStrings.xml" Id="Rb46d251d7c584578" /><Relationship Type="http://schemas.openxmlformats.org/officeDocument/2006/relationships/worksheet" Target="/xl/worksheets/sheet1.xml" Id="R1e7cd632bad24739" /><Relationship Type="http://schemas.openxmlformats.org/officeDocument/2006/relationships/worksheet" Target="/xl/worksheets/sheet2.xml" Id="Rfbef29fb1bc04eea" /><Relationship Type="http://schemas.openxmlformats.org/officeDocument/2006/relationships/worksheet" Target="/xl/worksheets/sheet3.xml" Id="R0527811a097a4445" /><Relationship Type="http://schemas.openxmlformats.org/officeDocument/2006/relationships/worksheet" Target="/xl/worksheets/sheet4.xml" Id="Re4c2498850ac4607" /><Relationship Type="http://schemas.openxmlformats.org/officeDocument/2006/relationships/worksheet" Target="/xl/worksheets/sheet5.xml" Id="R6ab7230ed50146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eaa951d00946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Final Decision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eaa951d00946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tomationDecisionTable" displayName="AutomationDecisionTable" ref="A6:AI14" headerRowCount="1">
  <x:tableColumns count="35">
    <x:tableColumn id="1" name="Automation ID"/>
    <x:tableColumn id="2" name="Event / trigger"/>
    <x:tableColumn id="3" name="Proposed action"/>
    <x:tableColumn id="4" name="Affected system or data"/>
    <x:tableColumn id="5" name="PHI/ePHI impact"/>
    <x:tableColumn id="6" name="Sensitivity (1–5)"/>
    <x:tableColumn id="7" name="Action impact (1–5)"/>
    <x:tableColumn id="8" name="Reversibility difficulty (1–5)"/>
    <x:tableColumn id="9" name="Blast radius (1–5)"/>
    <x:tableColumn id="10" name="Detection confidence (1–5)"/>
    <x:tableColumn id="11" name="Changes access?"/>
    <x:tableColumn id="12" name="Deletes/purges data?"/>
    <x:tableColumn id="13" name="Changes retention?"/>
    <x:tableColumn id="14" name="Could affect clinical decisions?"/>
    <x:tableColumn id="15" name="Base risk score"/>
    <x:tableColumn id="16" name="Mandatory gate"/>
    <x:tableColumn id="17" name="Calculated recommendation"/>
    <x:tableColumn id="18" name="Final decision"/>
    <x:tableColumn id="19" name="Decision rationale"/>
    <x:tableColumn id="20" name="Execution identity / RBAC scope"/>
    <x:tableColumn id="21" name="Approval role"/>
    <x:tableColumn id="22" name="Approval expiry"/>
    <x:tableColumn id="23" name="Audit evidence fields"/>
    <x:tableColumn id="24" name="Idempotency key"/>
    <x:tableColumn id="25" name="Timeout / retry limit"/>
    <x:tableColumn id="26" name="Pre-validation"/>
    <x:tableColumn id="27" name="Post-validation"/>
    <x:tableColumn id="28" name="Rollback / compensating action"/>
    <x:tableColumn id="29" name="Owner"/>
    <x:tableColumn id="30" name="Approver"/>
    <x:tableColumn id="31" name="Runbook link / ID"/>
    <x:tableColumn id="32" name="Test date"/>
    <x:tableColumn id="33" name="Review date"/>
    <x:tableColumn id="34" name="Status"/>
    <x:tableColumn id="35" name="Residual 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95380133c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c50ee1d0cae458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54" hidden="0" customWidth="1"/>
    <x:col min="5" max="5" width="18" hidden="0" customWidth="1"/>
    <x:col min="6" max="6" width="30" hidden="0" customWidth="1"/>
    <x:col min="7" max="7" width="48" hidden="0" customWidth="1"/>
    <x:col min="8" max="8" width="40" hidden="0" customWidth="1"/>
  </x:cols>
  <x:sheetData>
    <x:row r="1" ht="30" customHeight="1">
      <x:c r="A1" s="5" t="str">
        <x:v>Automation Decision Template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3" t="str">
        <x:v>Use this workbook to decide whether a remediation action may run automatically, requires approval, or must remain manual. The score is a screening aid—not a substitute for security, privacy, clinical-safety, or legal review.</x:v>
      </x:c>
      <x:c r="B3" s="13"/>
      <x:c r="C3" s="13"/>
      <x:c r="D3" s="13"/>
      <x:c r="E3" s="13"/>
      <x:c r="F3" s="13"/>
      <x:c r="G3" s="13"/>
      <x:c r="H3" s="13"/>
    </x:row>
    <x:row r="4" ht="42" customHeight="1">
      <x:c r="A4" s="13"/>
      <x:c r="B4" s="13"/>
      <x:c r="C4" s="13"/>
      <x:c r="D4" s="13"/>
      <x:c r="E4" s="13"/>
      <x:c r="F4" s="13"/>
      <x:c r="G4" s="13"/>
      <x:c r="H4" s="13"/>
    </x:row>
    <x:row r="6" ht="32" customHeight="1">
      <x:c r="A6" s="29" t="str">
        <x:v>Step</x:v>
      </x:c>
      <x:c r="B6" s="30" t="str">
        <x:v>Action</x:v>
      </x:c>
      <x:c r="C6" s="31" t="str">
        <x:v>Required evidence</x:v>
      </x:c>
      <x:c r="E6" s="29" t="str">
        <x:v>Decision class</x:v>
      </x:c>
      <x:c r="F6" s="30" t="str">
        <x:v>Meaning</x:v>
      </x:c>
      <x:c r="G6" s="30" t="str">
        <x:v>Minimum controls</x:v>
      </x:c>
      <x:c r="H6" s="31" t="str">
        <x:v>Example</x:v>
      </x:c>
    </x:row>
    <x:row r="7">
      <x:c r="A7" s="48" t="n">
        <x:v>1</x:v>
      </x:c>
      <x:c r="B7" s="46" t="str">
        <x:v>Define the event and intended action.</x:v>
      </x:c>
      <x:c r="C7" s="46" t="str">
        <x:v>Alert/query name, affected system, and business impact.</x:v>
      </x:c>
      <x:c r="E7" s="46" t="str">
        <x:v>Automatic</x:v>
      </x:c>
      <x:c r="F7" s="46" t="str">
        <x:v>Low-risk, reversible, bounded action.</x:v>
      </x:c>
      <x:c r="G7" s="46" t="str">
        <x:v>Least-privilege identity; idempotency; rate limits; validation; rollback; complete audit record.</x:v>
      </x:c>
      <x:c r="H7" s="46" t="str">
        <x:v>Create incident ticket; collect diagnostic snapshot.</x:v>
      </x:c>
    </x:row>
    <x:row r="8">
      <x:c r="A8" s="48" t="n">
        <x:v>2</x:v>
      </x:c>
      <x:c r="B8" s="46" t="str">
        <x:v>Score sensitivity, impact, reversibility difficulty, blast radius, and detection confidence from 1–5.</x:v>
      </x:c>
      <x:c r="C8" s="46" t="str">
        <x:v>Document the basis for each score in the rationale column.</x:v>
      </x:c>
      <x:c r="E8" s="46" t="str">
        <x:v>Approval-gated</x:v>
      </x:c>
      <x:c r="F8" s="46" t="str">
        <x:v>Automation prepares or executes only after an authorized person approves.</x:v>
      </x:c>
      <x:c r="G8" s="46" t="str">
        <x:v>All automatic controls plus approval identity, timestamp, scope, expiry, and reason.</x:v>
      </x:c>
      <x:c r="H8" s="46" t="str">
        <x:v>Pause one partner feed; replay a bounded batch.</x:v>
      </x:c>
    </x:row>
    <x:row r="9">
      <x:c r="A9" s="48" t="n">
        <x:v>3</x:v>
      </x:c>
      <x:c r="B9" s="46" t="str">
        <x:v>Apply mandatory gates.</x:v>
      </x:c>
      <x:c r="C9" s="46" t="str">
        <x:v>Actions that change access, delete data, alter retention, or could influence clinical decisions cannot be fully automatic.</x:v>
      </x:c>
      <x:c r="E9" s="46" t="str">
        <x:v>Manual</x:v>
      </x:c>
      <x:c r="F9" s="46" t="str">
        <x:v>Human executes from an approved runbook.</x:v>
      </x:c>
      <x:c r="G9" s="46" t="str">
        <x:v>Two-person control where required; command logging; pre/post validation; rollback and communications.</x:v>
      </x:c>
      <x:c r="H9" s="46" t="str">
        <x:v>Revoke privileged access; isolate a PHI store; purge records.</x:v>
      </x:c>
    </x:row>
    <x:row r="10">
      <x:c r="A10" s="48" t="n">
        <x:v>4</x:v>
      </x:c>
      <x:c r="B10" s="46" t="str">
        <x:v>Specify authorization, audit, validation, rollback, timeout, and retry controls.</x:v>
      </x:c>
      <x:c r="C10" s="46" t="str">
        <x:v>Every execution must produce a correlation ID and durable evidence record without PHI in telemetry.</x:v>
      </x:c>
      <x:c r="E10" s="46" t="str">
        <x:v>Prohibited</x:v>
      </x:c>
      <x:c r="F10" s="46" t="str">
        <x:v>Action must not be implemented in this design.</x:v>
      </x:c>
      <x:c r="G10" s="46" t="str">
        <x:v>Document why and identify a safer alternative.</x:v>
      </x:c>
      <x:c r="H10" s="46" t="str">
        <x:v>Autonomous clinical decision or unreviewed destructive remediation.</x:v>
      </x:c>
    </x:row>
    <x:row r="11">
      <x:c r="A11" s="48" t="n">
        <x:v>5</x:v>
      </x:c>
      <x:c r="B11" s="46" t="str">
        <x:v>Link the approved runbook and assign an owner and approver.</x:v>
      </x:c>
      <x:c r="C11" s="46" t="str">
        <x:v>Approval record, test evidence, and rollback test date.</x:v>
      </x:c>
      <x:c r="E11" s="46" t="str">
        <x:v>Score guidance</x:v>
      </x:c>
      <x:c r="F11" s="46" t="str">
        <x:v>Suggested score bands</x:v>
      </x:c>
      <x:c r="G11" s="46" t="str">
        <x:v>0–24 Automatic candidate; 25–39 Approval-gated; 40+ Manual.</x:v>
      </x:c>
      <x:c r="H11" s="46" t="str">
        <x:v>Mandatory gates override the score.</x:v>
      </x:c>
    </x:row>
    <x:row r="12">
      <x:c r="A12" s="48" t="n">
        <x:v>6</x:v>
      </x:c>
      <x:c r="B12" s="46" t="str">
        <x:v>Review after incidents and at least quarterly.</x:v>
      </x:c>
      <x:c r="C12" s="46" t="str">
        <x:v>Updated scores, decision class, and validation evidence.</x:v>
      </x:c>
      <x:c r="E12" s="46" t="str">
        <x:v>Telemetry rule</x:v>
      </x:c>
      <x:c r="F12" s="46" t="str">
        <x:v>Do not log PHI.</x:v>
      </x:c>
      <x:c r="G12" s="46" t="str">
        <x:v>Use synthetic identifiers, hashes/tokens where approved, correlation IDs, resource IDs, status codes, and control evidence.</x:v>
      </x:c>
      <x:c r="H12" s="46" t="str">
        <x:v>Never place FHIR payloads, patient names, MRNs, or free-text clinical content in logs.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26" hidden="0" customWidth="1"/>
    <x:col min="5" max="5" width="24" hidden="0" customWidth="1"/>
    <x:col min="6" max="6" width="13" hidden="0" customWidth="1"/>
    <x:col min="7" max="7" width="13" hidden="0" customWidth="1"/>
    <x:col min="8" max="8" width="16" hidden="0" customWidth="1"/>
    <x:col min="9" max="9" width="13" hidden="0" customWidth="1"/>
    <x:col min="10" max="10" width="15" hidden="0" customWidth="1"/>
    <x:col min="11" max="11" width="12" hidden="0" customWidth="1"/>
    <x:col min="12" max="12" width="13" hidden="0" customWidth="1"/>
    <x:col min="13" max="13" width="13" hidden="0" customWidth="1"/>
    <x:col min="14" max="14" width="17" hidden="0" customWidth="1"/>
    <x:col min="15" max="15" width="12" hidden="0" customWidth="1"/>
    <x:col min="16" max="16" width="22" hidden="0" customWidth="1"/>
    <x:col min="17" max="17" width="22" hidden="0" customWidth="1"/>
    <x:col min="18" max="18" width="18" hidden="0" customWidth="1"/>
    <x:col min="19" max="19" width="42" hidden="0" customWidth="1"/>
    <x:col min="20" max="20" width="34" hidden="0" customWidth="1"/>
    <x:col min="21" max="21" width="22" hidden="0" customWidth="1"/>
    <x:col min="22" max="22" width="16" hidden="0" customWidth="1"/>
    <x:col min="23" max="23" width="46" hidden="0" customWidth="1"/>
    <x:col min="24" max="24" width="24" hidden="0" customWidth="1"/>
    <x:col min="25" max="25" width="24" hidden="0" customWidth="1"/>
    <x:col min="26" max="26" width="34" hidden="0" customWidth="1"/>
    <x:col min="27" max="27" width="34" hidden="0" customWidth="1"/>
    <x:col min="28" max="28" width="38" hidden="0" customWidth="1"/>
    <x:col min="29" max="29" width="22" hidden="0" customWidth="1"/>
    <x:col min="30" max="30" width="24" hidden="0" customWidth="1"/>
    <x:col min="31" max="31" width="2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</x:cols>
  <x:sheetData>
    <x:row r="1" ht="30" customHeight="1">
      <x:c r="A1" s="5" t="str">
        <x:v>Automation Decision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3" ht="42" customHeight="1">
      <x:c r="A3" s="13" t="str">
        <x:v>Enter scores from 1 (low) to 5 (high). The calculated recommendation is overridden by mandatory gates. Record the final decision and rationale after review. All sample entries are fictional and contain no PHI.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</x:row>
    <x:row r="4" ht="42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</x:row>
    <x:row r="6" ht="32" customHeight="1">
      <x:c r="A6" s="29" t="str">
        <x:v>Automation ID</x:v>
      </x:c>
      <x:c r="B6" s="30" t="str">
        <x:v>Event / trigger</x:v>
      </x:c>
      <x:c r="C6" s="30" t="str">
        <x:v>Proposed action</x:v>
      </x:c>
      <x:c r="D6" s="30" t="str">
        <x:v>Affected system or data</x:v>
      </x:c>
      <x:c r="E6" s="30" t="str">
        <x:v>PHI/ePHI impact</x:v>
      </x:c>
      <x:c r="F6" s="30" t="str">
        <x:v>Sensitivity (1–5)</x:v>
      </x:c>
      <x:c r="G6" s="30" t="str">
        <x:v>Action impact (1–5)</x:v>
      </x:c>
      <x:c r="H6" s="30" t="str">
        <x:v>Reversibility difficulty (1–5)</x:v>
      </x:c>
      <x:c r="I6" s="30" t="str">
        <x:v>Blast radius (1–5)</x:v>
      </x:c>
      <x:c r="J6" s="30" t="str">
        <x:v>Detection confidence (1–5)</x:v>
      </x:c>
      <x:c r="K6" s="30" t="str">
        <x:v>Changes access?</x:v>
      </x:c>
      <x:c r="L6" s="30" t="str">
        <x:v>Deletes/purges data?</x:v>
      </x:c>
      <x:c r="M6" s="30" t="str">
        <x:v>Changes retention?</x:v>
      </x:c>
      <x:c r="N6" s="30" t="str">
        <x:v>Could affect clinical decisions?</x:v>
      </x:c>
      <x:c r="O6" s="30" t="str">
        <x:v>Base risk score</x:v>
      </x:c>
      <x:c r="P6" s="30" t="str">
        <x:v>Mandatory gate</x:v>
      </x:c>
      <x:c r="Q6" s="30" t="str">
        <x:v>Calculated recommendation</x:v>
      </x:c>
      <x:c r="R6" s="30" t="str">
        <x:v>Final decision</x:v>
      </x:c>
      <x:c r="S6" s="30" t="str">
        <x:v>Decision rationale</x:v>
      </x:c>
      <x:c r="T6" s="30" t="str">
        <x:v>Execution identity / RBAC scope</x:v>
      </x:c>
      <x:c r="U6" s="30" t="str">
        <x:v>Approval role</x:v>
      </x:c>
      <x:c r="V6" s="30" t="str">
        <x:v>Approval expiry</x:v>
      </x:c>
      <x:c r="W6" s="30" t="str">
        <x:v>Audit evidence fields</x:v>
      </x:c>
      <x:c r="X6" s="30" t="str">
        <x:v>Idempotency key</x:v>
      </x:c>
      <x:c r="Y6" s="30" t="str">
        <x:v>Timeout / retry limit</x:v>
      </x:c>
      <x:c r="Z6" s="30" t="str">
        <x:v>Pre-validation</x:v>
      </x:c>
      <x:c r="AA6" s="30" t="str">
        <x:v>Post-validation</x:v>
      </x:c>
      <x:c r="AB6" s="30" t="str">
        <x:v>Rollback / compensating action</x:v>
      </x:c>
      <x:c r="AC6" s="30" t="str">
        <x:v>Owner</x:v>
      </x:c>
      <x:c r="AD6" s="30" t="str">
        <x:v>Approver</x:v>
      </x:c>
      <x:c r="AE6" s="30" t="str">
        <x:v>Runbook link / ID</x:v>
      </x:c>
      <x:c r="AF6" s="30" t="str">
        <x:v>Test date</x:v>
      </x:c>
      <x:c r="AG6" s="30" t="str">
        <x:v>Review date</x:v>
      </x:c>
      <x:c r="AH6" s="30" t="str">
        <x:v>Status</x:v>
      </x:c>
      <x:c r="AI6" s="31" t="str">
        <x:v>Residual risk</x:v>
      </x:c>
    </x:row>
    <x:row r="7">
      <x:c r="A7" s="50" t="str">
        <x:v>AUT-001</x:v>
      </x:c>
      <x:c r="B7" s="50" t="str">
        <x:v>Audit-log gap detected</x:v>
      </x:c>
      <x:c r="C7" s="50" t="str">
        <x:v>Create incident and collect diagnostic metadata</x:v>
      </x:c>
      <x:c r="D7" s="50" t="str">
        <x:v>Azure Monitor / Log Analytics</x:v>
      </x:c>
      <x:c r="E7" s="50" t="str">
        <x:v>None; metadata only</x:v>
      </x:c>
      <x:c r="F7" s="50" t="n">
        <x:v>2</x:v>
      </x:c>
      <x:c r="G7" s="50" t="n">
        <x:v>2</x:v>
      </x:c>
      <x:c r="H7" s="50" t="n">
        <x:v>1</x:v>
      </x:c>
      <x:c r="I7" s="50" t="n">
        <x:v>2</x:v>
      </x:c>
      <x:c r="J7" s="50" t="n">
        <x:v>5</x:v>
      </x:c>
      <x:c r="K7" s="50" t="str">
        <x:v>No</x:v>
      </x:c>
      <x:c r="L7" s="50" t="str">
        <x:v>No</x:v>
      </x:c>
      <x:c r="M7" s="50" t="str">
        <x:v>No</x:v>
      </x:c>
      <x:c r="N7" s="50" t="str">
        <x:v>No</x:v>
      </x:c>
      <x:c r="O7" s="50" t="n">
        <x:f>F7*G7+H7*I7+(6-J7)*2</x:f>
        <x:v>8</x:v>
      </x:c>
      <x:c r="P7" s="50" t="str">
        <x:f>IF(OR(K7="Yes",L7="Yes",M7="Yes",N7="Yes"),"Mandatory human control","None")</x:f>
        <x:v>None</x:v>
      </x:c>
      <x:c r="Q7" s="50" t="str">
        <x:f>IF(P7&lt;&gt;"None",IF(OR(L7="Yes",M7="Yes",N7="Yes"),"Manual","Approval-gated"),IF(O7&gt;=40,"Manual",IF(O7&gt;=25,"Approval-gated","Automatic")))</x:f>
        <x:v>Automatic</x:v>
      </x:c>
      <x:c r="R7" s="50" t="str">
        <x:v>Automatic</x:v>
      </x:c>
      <x:c r="S7" s="50" t="str">
        <x:v>Low-impact, reversible evidence collection.</x:v>
      </x:c>
      <x:c r="T7" s="50" t="str">
        <x:v>Managed identity scoped to monitoring read + incident create</x:v>
      </x:c>
      <x:c r="U7" s="50" t="str">
        <x:v>N/A</x:v>
      </x:c>
      <x:c r="V7" s="50" t="str">
        <x:v>N/A</x:v>
      </x:c>
      <x:c r="W7" s="50" t="str">
        <x:v>CorrelationId; AutomationId; UTC timestamp; alert rule; resource ID; action; result; actor object ID</x:v>
      </x:c>
      <x:c r="X7" s="50" t="str">
        <x:v>AutomationId+AlertId</x:v>
      </x:c>
      <x:c r="Y7" s="50" t="str">
        <x:v>60 seconds / 2 retries</x:v>
      </x:c>
      <x:c r="Z7" s="50" t="str">
        <x:v>Confirm alert is active and resource exists</x:v>
      </x:c>
      <x:c r="AA7" s="50" t="str">
        <x:v>Confirm ticket created and evidence URI stored</x:v>
      </x:c>
      <x:c r="AB7" s="50" t="str">
        <x:v>Close duplicate ticket and mark failed execution</x:v>
      </x:c>
      <x:c r="AC7" s="50" t="str">
        <x:v>Platform Operations</x:v>
      </x:c>
      <x:c r="AD7" s="50" t="str">
        <x:v>Security Operations</x:v>
      </x:c>
      <x:c r="AE7" s="50" t="str">
        <x:v>RB-LOG-001</x:v>
      </x:c>
      <x:c r="AF7" s="50"/>
      <x:c r="AG7" s="50"/>
      <x:c r="AH7" s="50" t="str">
        <x:v>Draft</x:v>
      </x:c>
      <x:c r="AI7" s="50" t="str">
        <x:v>Low</x:v>
      </x:c>
    </x:row>
    <x:row r="8">
      <x:c r="A8" s="50" t="str">
        <x:v>AUT-002</x:v>
      </x:c>
      <x:c r="B8" s="50" t="str">
        <x:v>FHIR ingest failure rate exceeds threshold</x:v>
      </x:c>
      <x:c r="C8" s="50" t="str">
        <x:v>Pause one partner acquisition route</x:v>
      </x:c>
      <x:c r="D8" s="50" t="str">
        <x:v>ADF trigger / partner interface</x:v>
      </x:c>
      <x:c r="E8" s="50" t="str">
        <x:v>Processing interruption; no content logged</x:v>
      </x:c>
      <x:c r="F8" s="50" t="n">
        <x:v>3</x:v>
      </x:c>
      <x:c r="G8" s="50" t="n">
        <x:v>3</x:v>
      </x:c>
      <x:c r="H8" s="50" t="n">
        <x:v>2</x:v>
      </x:c>
      <x:c r="I8" s="50" t="n">
        <x:v>2</x:v>
      </x:c>
      <x:c r="J8" s="50" t="n">
        <x:v>4</x:v>
      </x:c>
      <x:c r="K8" s="50" t="str">
        <x:v>No</x:v>
      </x:c>
      <x:c r="L8" s="50" t="str">
        <x:v>No</x:v>
      </x:c>
      <x:c r="M8" s="50" t="str">
        <x:v>No</x:v>
      </x:c>
      <x:c r="N8" s="50" t="str">
        <x:v>No</x:v>
      </x:c>
      <x:c r="O8" s="50" t="n">
        <x:f>F8*G8+H8*I8+(6-J8)*2</x:f>
        <x:v>17</x:v>
      </x:c>
      <x:c r="P8" s="50" t="str">
        <x:f>IF(OR(K8="Yes",L8="Yes",M8="Yes",N8="Yes"),"Mandatory human control","None")</x:f>
        <x:v>None</x:v>
      </x:c>
      <x:c r="Q8" s="50" t="str">
        <x:f>IF(P8&lt;&gt;"None",IF(OR(L8="Yes",M8="Yes",N8="Yes"),"Manual","Approval-gated"),IF(O8&gt;=40,"Manual",IF(O8&gt;=25,"Approval-gated","Automatic")))</x:f>
        <x:v>Automatic</x:v>
      </x:c>
      <x:c r="R8" s="50" t="str">
        <x:v>Approval-gated</x:v>
      </x:c>
      <x:c r="S8" s="50" t="str">
        <x:v>Bounded pause protects data quality but affects availability.</x:v>
      </x:c>
      <x:c r="T8" s="50" t="str">
        <x:v>Managed identity scoped to named ADF trigger</x:v>
      </x:c>
      <x:c r="U8" s="50" t="str">
        <x:v>On-call lead</x:v>
      </x:c>
      <x:c r="V8" s="50" t="str">
        <x:v>30 minutes</x:v>
      </x:c>
      <x:c r="W8" s="50" t="str">
        <x:v>CorrelationId; partner code; pipeline run ID; threshold; approver; reason; action; result</x:v>
      </x:c>
      <x:c r="X8" s="50" t="str">
        <x:v>Partner+AlertWindow</x:v>
      </x:c>
      <x:c r="Y8" s="50" t="str">
        <x:v>120 seconds / 1 retry</x:v>
      </x:c>
      <x:c r="Z8" s="50" t="str">
        <x:v>Confirm threshold over evaluation window and no active maintenance</x:v>
      </x:c>
      <x:c r="AA8" s="50" t="str">
        <x:v>Confirm trigger stopped and queue depth monitored</x:v>
      </x:c>
      <x:c r="AB8" s="50" t="str">
        <x:v>Restart trigger from approved checkpoint</x:v>
      </x:c>
      <x:c r="AC8" s="50" t="str">
        <x:v>Integration Team</x:v>
      </x:c>
      <x:c r="AD8" s="50" t="str">
        <x:v>On-call Lead</x:v>
      </x:c>
      <x:c r="AE8" s="50" t="str">
        <x:v>RB-INGEST-002</x:v>
      </x:c>
      <x:c r="AF8" s="50"/>
      <x:c r="AG8" s="50"/>
      <x:c r="AH8" s="50" t="str">
        <x:v>Draft</x:v>
      </x:c>
      <x:c r="AI8" s="50" t="str">
        <x:v>Medium</x:v>
      </x:c>
    </x:row>
    <x:row r="9">
      <x:c r="A9" s="50" t="str">
        <x:v>AUT-003</x:v>
      </x:c>
      <x:c r="B9" s="50" t="str">
        <x:v>Schema validation failures</x:v>
      </x:c>
      <x:c r="C9" s="50" t="str">
        <x:v>Quarantine malformed messages</x:v>
      </x:c>
      <x:c r="D9" s="50" t="str">
        <x:v>Quarantine store / integration pipeline</x:v>
      </x:c>
      <x:c r="E9" s="50" t="str">
        <x:v>PHI remains encrypted; telemetry metadata only</x:v>
      </x:c>
      <x:c r="F9" s="50" t="n">
        <x:v>4</x:v>
      </x:c>
      <x:c r="G9" s="50" t="n">
        <x:v>3</x:v>
      </x:c>
      <x:c r="H9" s="50" t="n">
        <x:v>2</x:v>
      </x:c>
      <x:c r="I9" s="50" t="n">
        <x:v>2</x:v>
      </x:c>
      <x:c r="J9" s="50" t="n">
        <x:v>5</x:v>
      </x:c>
      <x:c r="K9" s="50" t="str">
        <x:v>No</x:v>
      </x:c>
      <x:c r="L9" s="50" t="str">
        <x:v>No</x:v>
      </x:c>
      <x:c r="M9" s="50" t="str">
        <x:v>No</x:v>
      </x:c>
      <x:c r="N9" s="50" t="str">
        <x:v>No</x:v>
      </x:c>
      <x:c r="O9" s="50" t="n">
        <x:f>F9*G9+H9*I9+(6-J9)*2</x:f>
        <x:v>18</x:v>
      </x:c>
      <x:c r="P9" s="50" t="str">
        <x:f>IF(OR(K9="Yes",L9="Yes",M9="Yes",N9="Yes"),"Mandatory human control","None")</x:f>
        <x:v>None</x:v>
      </x:c>
      <x:c r="Q9" s="50" t="str">
        <x:f>IF(P9&lt;&gt;"None",IF(OR(L9="Yes",M9="Yes",N9="Yes"),"Manual","Approval-gated"),IF(O9&gt;=40,"Manual",IF(O9&gt;=25,"Approval-gated","Automatic")))</x:f>
        <x:v>Automatic</x:v>
      </x:c>
      <x:c r="R9" s="50" t="str">
        <x:v>Automatic</x:v>
      </x:c>
      <x:c r="S9" s="50" t="str">
        <x:v>Quarantine is reversible and prevents invalid records entering FHIR.</x:v>
      </x:c>
      <x:c r="T9" s="50" t="str">
        <x:v>Managed identity scoped to write quarantine + update processing status</x:v>
      </x:c>
      <x:c r="U9" s="50" t="str">
        <x:v>N/A</x:v>
      </x:c>
      <x:c r="V9" s="50" t="str">
        <x:v>N/A</x:v>
      </x:c>
      <x:c r="W9" s="50" t="str">
        <x:v>CorrelationId; partner code; schema version; validation code; object URI token; action; result</x:v>
      </x:c>
      <x:c r="X9" s="50" t="str">
        <x:v>MessageIdHash+SchemaVersion</x:v>
      </x:c>
      <x:c r="Y9" s="50" t="str">
        <x:v>90 seconds / 3 retries</x:v>
      </x:c>
      <x:c r="Z9" s="50" t="str">
        <x:v>Validate rule version and quarantine availability</x:v>
      </x:c>
      <x:c r="AA9" s="50" t="str">
        <x:v>Verify source record unchanged and quarantine count reconciles</x:v>
      </x:c>
      <x:c r="AB9" s="50" t="str">
        <x:v>Return item to source queue after validation fix</x:v>
      </x:c>
      <x:c r="AC9" s="50" t="str">
        <x:v>Integration Team</x:v>
      </x:c>
      <x:c r="AD9" s="50" t="str">
        <x:v>Security Operations</x:v>
      </x:c>
      <x:c r="AE9" s="50" t="str">
        <x:v>RB-VALIDATE-003</x:v>
      </x:c>
      <x:c r="AF9" s="50"/>
      <x:c r="AG9" s="50"/>
      <x:c r="AH9" s="50" t="str">
        <x:v>Draft</x:v>
      </x:c>
      <x:c r="AI9" s="50" t="str">
        <x:v>Medium</x:v>
      </x:c>
    </x:row>
    <x:row r="10">
      <x:c r="A10" s="50" t="str">
        <x:v>AUT-004</x:v>
      </x:c>
      <x:c r="B10" s="50" t="str">
        <x:v>Approved replay request</x:v>
      </x:c>
      <x:c r="C10" s="50" t="str">
        <x:v>Replay up to 500 quarantined messages</x:v>
      </x:c>
      <x:c r="D10" s="50" t="str">
        <x:v>ADF / Service Bus / FHIR service</x:v>
      </x:c>
      <x:c r="E10" s="50" t="str">
        <x:v>PHI processed; no payload in logs</x:v>
      </x:c>
      <x:c r="F10" s="50" t="n">
        <x:v>4</x:v>
      </x:c>
      <x:c r="G10" s="50" t="n">
        <x:v>4</x:v>
      </x:c>
      <x:c r="H10" s="50" t="n">
        <x:v>3</x:v>
      </x:c>
      <x:c r="I10" s="50" t="n">
        <x:v>3</x:v>
      </x:c>
      <x:c r="J10" s="50" t="n">
        <x:v>4</x:v>
      </x:c>
      <x:c r="K10" s="50" t="str">
        <x:v>No</x:v>
      </x:c>
      <x:c r="L10" s="50" t="str">
        <x:v>No</x:v>
      </x:c>
      <x:c r="M10" s="50" t="str">
        <x:v>No</x:v>
      </x:c>
      <x:c r="N10" s="50" t="str">
        <x:v>No</x:v>
      </x:c>
      <x:c r="O10" s="50" t="n">
        <x:f>F10*G10+H10*I10+(6-J10)*2</x:f>
        <x:v>29</x:v>
      </x:c>
      <x:c r="P10" s="50" t="str">
        <x:f>IF(OR(K10="Yes",L10="Yes",M10="Yes",N10="Yes"),"Mandatory human control","None")</x:f>
        <x:v>None</x:v>
      </x:c>
      <x:c r="Q10" s="50" t="str">
        <x:f>IF(P10&lt;&gt;"None",IF(OR(L10="Yes",M10="Yes",N10="Yes"),"Manual","Approval-gated"),IF(O10&gt;=40,"Manual",IF(O10&gt;=25,"Approval-gated","Automatic")))</x:f>
        <x:v>Approval-gated</x:v>
      </x:c>
      <x:c r="R10" s="50" t="str">
        <x:v>Approval-gated</x:v>
      </x:c>
      <x:c r="S10" s="50" t="str">
        <x:v>Replay can create duplicates unless bounded and idempotent.</x:v>
      </x:c>
      <x:c r="T10" s="50" t="str">
        <x:v>Managed identity scoped to named replay pipeline and FHIR write</x:v>
      </x:c>
      <x:c r="U10" s="50" t="str">
        <x:v>Integration lead</x:v>
      </x:c>
      <x:c r="V10" s="50" t="str">
        <x:v>2 hours</x:v>
      </x:c>
      <x:c r="W10" s="50" t="str">
        <x:v>CorrelationId; approval ID; batch token; count; checkpoint; pipeline run ID; outcome; reconciliation result</x:v>
      </x:c>
      <x:c r="X10" s="50" t="str">
        <x:v>SourceMessageIdHash+TargetVersion</x:v>
      </x:c>
      <x:c r="Y10" s="50" t="str">
        <x:v>30 minutes / no whole-batch retry</x:v>
      </x:c>
      <x:c r="Z10" s="50" t="str">
        <x:v>Confirm approval, batch limit, idempotency store, and target capacity</x:v>
      </x:c>
      <x:c r="AA10" s="50" t="str">
        <x:v>Reconcile attempted/succeeded/failed/duplicate counts</x:v>
      </x:c>
      <x:c r="AB10" s="50" t="str">
        <x:v>Stop pipeline; restore checkpoint; quarantine unresolved items</x:v>
      </x:c>
      <x:c r="AC10" s="50" t="str">
        <x:v>Integration Team</x:v>
      </x:c>
      <x:c r="AD10" s="50" t="str">
        <x:v>Integration Lead</x:v>
      </x:c>
      <x:c r="AE10" s="50" t="str">
        <x:v>RB-REPLAY-004</x:v>
      </x:c>
      <x:c r="AF10" s="50"/>
      <x:c r="AG10" s="50"/>
      <x:c r="AH10" s="50" t="str">
        <x:v>Draft</x:v>
      </x:c>
      <x:c r="AI10" s="50" t="str">
        <x:v>Medium</x:v>
      </x:c>
    </x:row>
    <x:row r="11">
      <x:c r="A11" s="50" t="str">
        <x:v>AUT-005</x:v>
      </x:c>
      <x:c r="B11" s="50" t="str">
        <x:v>Suspected privileged account compromise</x:v>
      </x:c>
      <x:c r="C11" s="50" t="str">
        <x:v>Revoke privileged role assignment</x:v>
      </x:c>
      <x:c r="D11" s="50" t="str">
        <x:v>Microsoft Entra ID / Azure RBAC</x:v>
      </x:c>
      <x:c r="E11" s="50" t="str">
        <x:v>Indirect PHI-access impact</x:v>
      </x:c>
      <x:c r="F11" s="50" t="n">
        <x:v>5</x:v>
      </x:c>
      <x:c r="G11" s="50" t="n">
        <x:v>5</x:v>
      </x:c>
      <x:c r="H11" s="50" t="n">
        <x:v>3</x:v>
      </x:c>
      <x:c r="I11" s="50" t="n">
        <x:v>4</x:v>
      </x:c>
      <x:c r="J11" s="50" t="n">
        <x:v>3</x:v>
      </x:c>
      <x:c r="K11" s="50" t="str">
        <x:v>Yes</x:v>
      </x:c>
      <x:c r="L11" s="50" t="str">
        <x:v>No</x:v>
      </x:c>
      <x:c r="M11" s="50" t="str">
        <x:v>No</x:v>
      </x:c>
      <x:c r="N11" s="50" t="str">
        <x:v>No</x:v>
      </x:c>
      <x:c r="O11" s="50" t="n">
        <x:f>F11*G11+H11*I11+(6-J11)*2</x:f>
        <x:v>43</x:v>
      </x:c>
      <x:c r="P11" s="50" t="str">
        <x:f>IF(OR(K11="Yes",L11="Yes",M11="Yes",N11="Yes"),"Mandatory human control","None")</x:f>
        <x:v>Mandatory human control</x:v>
      </x:c>
      <x:c r="Q11" s="50" t="str">
        <x:f>IF(P11&lt;&gt;"None",IF(OR(L11="Yes",M11="Yes",N11="Yes"),"Manual","Approval-gated"),IF(O11&gt;=40,"Manual",IF(O11&gt;=25,"Approval-gated","Automatic")))</x:f>
        <x:v>Approval-gated</x:v>
      </x:c>
      <x:c r="R11" s="50" t="str">
        <x:v>Manual</x:v>
      </x:c>
      <x:c r="S11" s="50" t="str">
        <x:v>Access revocation requires identity verification and break-glass checks.</x:v>
      </x:c>
      <x:c r="T11" s="50" t="str">
        <x:v>Privileged Identity Management / authorized security operator</x:v>
      </x:c>
      <x:c r="U11" s="50" t="str">
        <x:v>Security incident commander</x:v>
      </x:c>
      <x:c r="V11" s="50" t="str">
        <x:v>Incident duration</x:v>
      </x:c>
      <x:c r="W11" s="50" t="str">
        <x:v>Incident ID; actor; target object ID; role/scope; approval; reason; UTC timestamps; result</x:v>
      </x:c>
      <x:c r="X11" s="50" t="str">
        <x:v>IncidentId+TargetRoleAssignment</x:v>
      </x:c>
      <x:c r="Y11" s="50" t="str">
        <x:v>Per runbook / no blind retry</x:v>
      </x:c>
      <x:c r="Z11" s="50" t="str">
        <x:v>Verify compromise indicators and alternate emergency access</x:v>
      </x:c>
      <x:c r="AA11" s="50" t="str">
        <x:v>Confirm assignment removed and active sessions addressed</x:v>
      </x:c>
      <x:c r="AB11" s="50" t="str">
        <x:v>Restore only after incident commander approval</x:v>
      </x:c>
      <x:c r="AC11" s="50" t="str">
        <x:v>Security Operations</x:v>
      </x:c>
      <x:c r="AD11" s="50" t="str">
        <x:v>Security Incident Commander</x:v>
      </x:c>
      <x:c r="AE11" s="50" t="str">
        <x:v>RB-IAM-005</x:v>
      </x:c>
      <x:c r="AF11" s="50"/>
      <x:c r="AG11" s="50"/>
      <x:c r="AH11" s="50" t="str">
        <x:v>Draft</x:v>
      </x:c>
      <x:c r="AI11" s="50" t="str">
        <x:v>High</x:v>
      </x:c>
    </x:row>
    <x:row r="12">
      <x:c r="A12" s="50" t="str">
        <x:v>AUT-006</x:v>
      </x:c>
      <x:c r="B12" s="50" t="str">
        <x:v>Critical data exfiltration indicator</x:v>
      </x:c>
      <x:c r="C12" s="50" t="str">
        <x:v>Isolate FHIR private endpoint/network path</x:v>
      </x:c>
      <x:c r="D12" s="50" t="str">
        <x:v>FHIR service / private networking</x:v>
      </x:c>
      <x:c r="E12" s="50" t="str">
        <x:v>May interrupt clinical-support availability</x:v>
      </x:c>
      <x:c r="F12" s="50" t="n">
        <x:v>5</x:v>
      </x:c>
      <x:c r="G12" s="50" t="n">
        <x:v>5</x:v>
      </x:c>
      <x:c r="H12" s="50" t="n">
        <x:v>4</x:v>
      </x:c>
      <x:c r="I12" s="50" t="n">
        <x:v>5</x:v>
      </x:c>
      <x:c r="J12" s="50" t="n">
        <x:v>3</x:v>
      </x:c>
      <x:c r="K12" s="50" t="str">
        <x:v>No</x:v>
      </x:c>
      <x:c r="L12" s="50" t="str">
        <x:v>No</x:v>
      </x:c>
      <x:c r="M12" s="50" t="str">
        <x:v>No</x:v>
      </x:c>
      <x:c r="N12" s="50" t="str">
        <x:v>Yes</x:v>
      </x:c>
      <x:c r="O12" s="50" t="n">
        <x:f>F12*G12+H12*I12+(6-J12)*2</x:f>
        <x:v>51</x:v>
      </x:c>
      <x:c r="P12" s="50" t="str">
        <x:f>IF(OR(K12="Yes",L12="Yes",M12="Yes",N12="Yes"),"Mandatory human control","None")</x:f>
        <x:v>Mandatory human control</x:v>
      </x:c>
      <x:c r="Q12" s="50" t="str">
        <x:f>IF(P12&lt;&gt;"None",IF(OR(L12="Yes",M12="Yes",N12="Yes"),"Manual","Approval-gated"),IF(O12&gt;=40,"Manual",IF(O12&gt;=25,"Approval-gated","Automatic")))</x:f>
        <x:v>Manual</x:v>
      </x:c>
      <x:c r="R12" s="50" t="str">
        <x:v>Manual</x:v>
      </x:c>
      <x:c r="S12" s="50" t="str">
        <x:v>Large blast radius and possible clinical-operational impact.</x:v>
      </x:c>
      <x:c r="T12" s="50" t="str">
        <x:v>Authorized network/security operator with scoped role</x:v>
      </x:c>
      <x:c r="U12" s="50" t="str">
        <x:v>Security incident commander + clinical operations</x:v>
      </x:c>
      <x:c r="V12" s="50" t="str">
        <x:v>Incident duration</x:v>
      </x:c>
      <x:c r="W12" s="50" t="str">
        <x:v>Incident ID; affected endpoint; evidence URI; approvals; change IDs; start/end times; result</x:v>
      </x:c>
      <x:c r="X12" s="50" t="str">
        <x:v>IncidentId+NetworkChangeId</x:v>
      </x:c>
      <x:c r="Y12" s="50" t="str">
        <x:v>Per runbook / no blind retry</x:v>
      </x:c>
      <x:c r="Z12" s="50" t="str">
        <x:v>Confirm indicator, affected scope, and downtime communications</x:v>
      </x:c>
      <x:c r="AA12" s="50" t="str">
        <x:v>Verify isolation and alternate workflow activation</x:v>
      </x:c>
      <x:c r="AB12" s="50" t="str">
        <x:v>Restore previous approved network configuration</x:v>
      </x:c>
      <x:c r="AC12" s="50" t="str">
        <x:v>Security + Network</x:v>
      </x:c>
      <x:c r="AD12" s="50" t="str">
        <x:v>Security Incident Commander</x:v>
      </x:c>
      <x:c r="AE12" s="50" t="str">
        <x:v>RB-ISOLATE-006</x:v>
      </x:c>
      <x:c r="AF12" s="50"/>
      <x:c r="AG12" s="50"/>
      <x:c r="AH12" s="50" t="str">
        <x:v>Draft</x:v>
      </x:c>
      <x:c r="AI12" s="50" t="str">
        <x:v>Critical</x:v>
      </x:c>
    </x:row>
    <x:row r="13">
      <x:c r="A13" s="50" t="str">
        <x:v>AUT-007</x:v>
      </x:c>
      <x:c r="B13" s="50" t="str">
        <x:v>Retention job exception</x:v>
      </x:c>
      <x:c r="C13" s="50" t="str">
        <x:v>Delete records outside retention period</x:v>
      </x:c>
      <x:c r="D13" s="50" t="str">
        <x:v>FHIR / storage / backups</x:v>
      </x:c>
      <x:c r="E13" s="50" t="str">
        <x:v>Destructive PHI action</x:v>
      </x:c>
      <x:c r="F13" s="50" t="n">
        <x:v>5</x:v>
      </x:c>
      <x:c r="G13" s="50" t="n">
        <x:v>5</x:v>
      </x:c>
      <x:c r="H13" s="50" t="n">
        <x:v>5</x:v>
      </x:c>
      <x:c r="I13" s="50" t="n">
        <x:v>5</x:v>
      </x:c>
      <x:c r="J13" s="50" t="n">
        <x:v>4</x:v>
      </x:c>
      <x:c r="K13" s="50" t="str">
        <x:v>No</x:v>
      </x:c>
      <x:c r="L13" s="50" t="str">
        <x:v>Yes</x:v>
      </x:c>
      <x:c r="M13" s="50" t="str">
        <x:v>Yes</x:v>
      </x:c>
      <x:c r="N13" s="50" t="str">
        <x:v>Yes</x:v>
      </x:c>
      <x:c r="O13" s="50" t="n">
        <x:f>F13*G13+H13*I13+(6-J13)*2</x:f>
        <x:v>54</x:v>
      </x:c>
      <x:c r="P13" s="50" t="str">
        <x:f>IF(OR(K13="Yes",L13="Yes",M13="Yes",N13="Yes"),"Mandatory human control","None")</x:f>
        <x:v>Mandatory human control</x:v>
      </x:c>
      <x:c r="Q13" s="50" t="str">
        <x:f>IF(P13&lt;&gt;"None",IF(OR(L13="Yes",M13="Yes",N13="Yes"),"Manual","Approval-gated"),IF(O13&gt;=40,"Manual",IF(O13&gt;=25,"Approval-gated","Automatic")))</x:f>
        <x:v>Manual</x:v>
      </x:c>
      <x:c r="R13" s="50" t="str">
        <x:v>Manual</x:v>
      </x:c>
      <x:c r="S13" s="50" t="str">
        <x:v>Deletion and retention changes require legal/privacy authorization and evidence.</x:v>
      </x:c>
      <x:c r="T13" s="50" t="str">
        <x:v>Dedicated approved operator identity; no generic automation identity</x:v>
      </x:c>
      <x:c r="U13" s="50" t="str">
        <x:v>Privacy + Legal + Data owner</x:v>
      </x:c>
      <x:c r="V13" s="50" t="str">
        <x:v>Single change window</x:v>
      </x:c>
      <x:c r="W13" s="50" t="str">
        <x:v>Legal basis; data set; approval IDs; change ticket; immutable evidence; counts; verification</x:v>
      </x:c>
      <x:c r="X13" s="50" t="str">
        <x:v>ChangeTicket+DatasetVersion</x:v>
      </x:c>
      <x:c r="Y13" s="50" t="str">
        <x:v>Per approved procedure / no retry</x:v>
      </x:c>
      <x:c r="Z13" s="50" t="str">
        <x:v>Confirm legal hold, retention policy, backups, and exact scope</x:v>
      </x:c>
      <x:c r="AA13" s="50" t="str">
        <x:v>Verify counts and independent evidence review</x:v>
      </x:c>
      <x:c r="AB13" s="50" t="str">
        <x:v>Use approved recovery process if legally and technically permitted</x:v>
      </x:c>
      <x:c r="AC13" s="50" t="str">
        <x:v>Privacy / Data Governance</x:v>
      </x:c>
      <x:c r="AD13" s="50" t="str">
        <x:v>Privacy Officer</x:v>
      </x:c>
      <x:c r="AE13" s="50" t="str">
        <x:v>RB-RETENTION-007</x:v>
      </x:c>
      <x:c r="AF13" s="50"/>
      <x:c r="AG13" s="50"/>
      <x:c r="AH13" s="50" t="str">
        <x:v>Draft</x:v>
      </x:c>
      <x:c r="AI13" s="50" t="str">
        <x:v>Critical</x:v>
      </x:c>
    </x:row>
    <x:row r="14">
      <x:c r="A14" s="50" t="str">
        <x:v>AUT-008</x:v>
      </x:c>
      <x:c r="B14" s="50" t="str">
        <x:v>Sustained queue backlog</x:v>
      </x:c>
      <x:c r="C14" s="50" t="str">
        <x:v>Scale stateless transformation workers within cap</x:v>
      </x:c>
      <x:c r="D14" s="50" t="str">
        <x:v>Azure Functions Premium or Container Apps</x:v>
      </x:c>
      <x:c r="E14" s="50" t="str">
        <x:v>No payload in telemetry</x:v>
      </x:c>
      <x:c r="F14" s="50" t="n">
        <x:v>3</x:v>
      </x:c>
      <x:c r="G14" s="50" t="n">
        <x:v>2</x:v>
      </x:c>
      <x:c r="H14" s="50" t="n">
        <x:v>1</x:v>
      </x:c>
      <x:c r="I14" s="50" t="n">
        <x:v>2</x:v>
      </x:c>
      <x:c r="J14" s="50" t="n">
        <x:v>5</x:v>
      </x:c>
      <x:c r="K14" s="50" t="str">
        <x:v>No</x:v>
      </x:c>
      <x:c r="L14" s="50" t="str">
        <x:v>No</x:v>
      </x:c>
      <x:c r="M14" s="50" t="str">
        <x:v>No</x:v>
      </x:c>
      <x:c r="N14" s="50" t="str">
        <x:v>No</x:v>
      </x:c>
      <x:c r="O14" s="50" t="n">
        <x:f>F14*G14+H14*I14+(6-J14)*2</x:f>
        <x:v>10</x:v>
      </x:c>
      <x:c r="P14" s="50" t="str">
        <x:f>IF(OR(K14="Yes",L14="Yes",M14="Yes",N14="Yes"),"Mandatory human control","None")</x:f>
        <x:v>None</x:v>
      </x:c>
      <x:c r="Q14" s="50" t="str">
        <x:f>IF(P14&lt;&gt;"None",IF(OR(L14="Yes",M14="Yes",N14="Yes"),"Manual","Approval-gated"),IF(O14&gt;=40,"Manual",IF(O14&gt;=25,"Approval-gated","Automatic")))</x:f>
        <x:v>Automatic</x:v>
      </x:c>
      <x:c r="R14" s="50" t="str">
        <x:v>Automatic</x:v>
      </x:c>
      <x:c r="S14" s="50" t="str">
        <x:v>Bounded scaling is reversible and does not change data semantics.</x:v>
      </x:c>
      <x:c r="T14" s="50" t="str">
        <x:v>Platform-managed identity; scale rule limited to named workload</x:v>
      </x:c>
      <x:c r="U14" s="50" t="str">
        <x:v>N/A</x:v>
      </x:c>
      <x:c r="V14" s="50" t="str">
        <x:v>N/A</x:v>
      </x:c>
      <x:c r="W14" s="50" t="str">
        <x:v>CorrelationId; queue metric; old/new capacity; cap; duration; action; result</x:v>
      </x:c>
      <x:c r="X14" s="50" t="str">
        <x:v>Workload+MetricWindow</x:v>
      </x:c>
      <x:c r="Y14" s="50" t="str">
        <x:v>10 minutes / platform-managed</x:v>
      </x:c>
      <x:c r="Z14" s="50" t="str">
        <x:v>Confirm metric is healthy and cap not exceeded</x:v>
      </x:c>
      <x:c r="AA14" s="50" t="str">
        <x:v>Verify error rate, latency, and cost guardrail</x:v>
      </x:c>
      <x:c r="AB14" s="50" t="str">
        <x:v>Return to prior minimum/maximum settings</x:v>
      </x:c>
      <x:c r="AC14" s="50" t="str">
        <x:v>Platform Operations</x:v>
      </x:c>
      <x:c r="AD14" s="50" t="str">
        <x:v>Platform Lead</x:v>
      </x:c>
      <x:c r="AE14" s="50" t="str">
        <x:v>RB-SCALE-008</x:v>
      </x:c>
      <x:c r="AF14" s="50"/>
      <x:c r="AG14" s="50"/>
      <x:c r="AH14" s="50" t="str">
        <x:v>Draft</x:v>
      </x:c>
      <x:c r="AI14" s="50" t="str">
        <x:v>Low</x:v>
      </x:c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  <x:c r="Z15" s="50"/>
      <x:c r="AA15" s="50"/>
      <x:c r="AB15" s="50"/>
      <x:c r="AC15" s="50"/>
      <x:c r="AD15" s="50"/>
      <x:c r="AE15" s="50"/>
      <x:c r="AF15" s="50"/>
      <x:c r="AG15" s="50"/>
      <x:c r="AH15" s="50"/>
      <x:c r="AI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  <x:c r="AA16" s="50"/>
      <x:c r="AB16" s="50"/>
      <x:c r="AC16" s="50"/>
      <x:c r="AD16" s="50"/>
      <x:c r="AE16" s="50"/>
      <x:c r="AF16" s="50"/>
      <x:c r="AG16" s="50"/>
      <x:c r="AH16" s="50"/>
      <x:c r="AI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  <x:c r="Z17" s="50"/>
      <x:c r="AA17" s="50"/>
      <x:c r="AB17" s="50"/>
      <x:c r="AC17" s="50"/>
      <x:c r="AD17" s="50"/>
      <x:c r="AE17" s="50"/>
      <x:c r="AF17" s="50"/>
      <x:c r="AG17" s="50"/>
      <x:c r="AH17" s="50"/>
      <x:c r="AI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  <x:c r="Z18" s="50"/>
      <x:c r="AA18" s="50"/>
      <x:c r="AB18" s="50"/>
      <x:c r="AC18" s="50"/>
      <x:c r="AD18" s="50"/>
      <x:c r="AE18" s="50"/>
      <x:c r="AF18" s="50"/>
      <x:c r="AG18" s="50"/>
      <x:c r="AH18" s="50"/>
      <x:c r="AI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  <x:c r="AA19" s="50"/>
      <x:c r="AB19" s="50"/>
      <x:c r="AC19" s="50"/>
      <x:c r="AD19" s="50"/>
      <x:c r="AE19" s="50"/>
      <x:c r="AF19" s="50"/>
      <x:c r="AG19" s="50"/>
      <x:c r="AH19" s="50"/>
      <x:c r="AI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  <x:c r="Z20" s="50"/>
      <x:c r="AA20" s="50"/>
      <x:c r="AB20" s="50"/>
      <x:c r="AC20" s="50"/>
      <x:c r="AD20" s="50"/>
      <x:c r="AE20" s="50"/>
      <x:c r="AF20" s="50"/>
      <x:c r="AG20" s="50"/>
      <x:c r="AH20" s="50"/>
      <x:c r="AI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  <x:c r="Z21" s="50"/>
      <x:c r="AA21" s="50"/>
      <x:c r="AB21" s="50"/>
      <x:c r="AC21" s="50"/>
      <x:c r="AD21" s="50"/>
      <x:c r="AE21" s="50"/>
      <x:c r="AF21" s="50"/>
      <x:c r="AG21" s="50"/>
      <x:c r="AH21" s="50"/>
      <x:c r="AI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  <x:c r="Z22" s="50"/>
      <x:c r="AA22" s="50"/>
      <x:c r="AB22" s="50"/>
      <x:c r="AC22" s="50"/>
      <x:c r="AD22" s="50"/>
      <x:c r="AE22" s="50"/>
      <x:c r="AF22" s="50"/>
      <x:c r="AG22" s="50"/>
      <x:c r="AH22" s="50"/>
      <x:c r="AI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  <x:c r="AA23" s="50"/>
      <x:c r="AB23" s="50"/>
      <x:c r="AC23" s="50"/>
      <x:c r="AD23" s="50"/>
      <x:c r="AE23" s="50"/>
      <x:c r="AF23" s="50"/>
      <x:c r="AG23" s="50"/>
      <x:c r="AH23" s="50"/>
      <x:c r="AI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  <x:c r="Z24" s="50"/>
      <x:c r="AA24" s="50"/>
      <x:c r="AB24" s="50"/>
      <x:c r="AC24" s="50"/>
      <x:c r="AD24" s="50"/>
      <x:c r="AE24" s="50"/>
      <x:c r="AF24" s="50"/>
      <x:c r="AG24" s="50"/>
      <x:c r="AH24" s="50"/>
      <x:c r="AI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  <x:c r="Z25" s="50"/>
      <x:c r="AA25" s="50"/>
      <x:c r="AB25" s="50"/>
      <x:c r="AC25" s="50"/>
      <x:c r="AD25" s="50"/>
      <x:c r="AE25" s="50"/>
      <x:c r="AF25" s="50"/>
      <x:c r="AG25" s="50"/>
      <x:c r="AH25" s="50"/>
      <x:c r="AI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  <x:c r="Z26" s="50"/>
      <x:c r="AA26" s="50"/>
      <x:c r="AB26" s="50"/>
      <x:c r="AC26" s="50"/>
      <x:c r="AD26" s="50"/>
      <x:c r="AE26" s="50"/>
      <x:c r="AF26" s="50"/>
      <x:c r="AG26" s="50"/>
      <x:c r="AH26" s="50"/>
      <x:c r="AI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  <x:c r="AA27" s="50"/>
      <x:c r="AB27" s="50"/>
      <x:c r="AC27" s="50"/>
      <x:c r="AD27" s="50"/>
      <x:c r="AE27" s="50"/>
      <x:c r="AF27" s="50"/>
      <x:c r="AG27" s="50"/>
      <x:c r="AH27" s="50"/>
      <x:c r="AI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  <x:c r="AA28" s="50"/>
      <x:c r="AB28" s="50"/>
      <x:c r="AC28" s="50"/>
      <x:c r="AD28" s="50"/>
      <x:c r="AE28" s="50"/>
      <x:c r="AF28" s="50"/>
      <x:c r="AG28" s="50"/>
      <x:c r="AH28" s="50"/>
      <x:c r="AI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  <x:c r="AA29" s="50"/>
      <x:c r="AB29" s="50"/>
      <x:c r="AC29" s="50"/>
      <x:c r="AD29" s="50"/>
      <x:c r="AE29" s="50"/>
      <x:c r="AF29" s="50"/>
      <x:c r="AG29" s="50"/>
      <x:c r="AH29" s="50"/>
      <x:c r="AI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  <x:c r="AA30" s="50"/>
      <x:c r="AB30" s="50"/>
      <x:c r="AC30" s="50"/>
      <x:c r="AD30" s="50"/>
      <x:c r="AE30" s="50"/>
      <x:c r="AF30" s="50"/>
      <x:c r="AG30" s="50"/>
      <x:c r="AH30" s="50"/>
      <x:c r="AI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  <x:c r="AA31" s="50"/>
      <x:c r="AB31" s="50"/>
      <x:c r="AC31" s="50"/>
      <x:c r="AD31" s="50"/>
      <x:c r="AE31" s="50"/>
      <x:c r="AF31" s="50"/>
      <x:c r="AG31" s="50"/>
      <x:c r="AH31" s="50"/>
      <x:c r="AI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  <x:c r="AA32" s="50"/>
      <x:c r="AB32" s="50"/>
      <x:c r="AC32" s="50"/>
      <x:c r="AD32" s="50"/>
      <x:c r="AE32" s="50"/>
      <x:c r="AF32" s="50"/>
      <x:c r="AG32" s="50"/>
      <x:c r="AH32" s="50"/>
      <x:c r="AI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  <x:c r="AA33" s="50"/>
      <x:c r="AB33" s="50"/>
      <x:c r="AC33" s="50"/>
      <x:c r="AD33" s="50"/>
      <x:c r="AE33" s="50"/>
      <x:c r="AF33" s="50"/>
      <x:c r="AG33" s="50"/>
      <x:c r="AH33" s="50"/>
      <x:c r="AI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  <x:c r="AA34" s="50"/>
      <x:c r="AB34" s="50"/>
      <x:c r="AC34" s="50"/>
      <x:c r="AD34" s="50"/>
      <x:c r="AE34" s="50"/>
      <x:c r="AF34" s="50"/>
      <x:c r="AG34" s="50"/>
      <x:c r="AH34" s="50"/>
      <x:c r="AI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  <x:c r="AA35" s="50"/>
      <x:c r="AB35" s="50"/>
      <x:c r="AC35" s="50"/>
      <x:c r="AD35" s="50"/>
      <x:c r="AE35" s="50"/>
      <x:c r="AF35" s="50"/>
      <x:c r="AG35" s="50"/>
      <x:c r="AH35" s="50"/>
      <x:c r="AI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  <x:c r="Z36" s="50"/>
      <x:c r="AA36" s="50"/>
      <x:c r="AB36" s="50"/>
      <x:c r="AC36" s="50"/>
      <x:c r="AD36" s="50"/>
      <x:c r="AE36" s="50"/>
      <x:c r="AF36" s="50"/>
      <x:c r="AG36" s="50"/>
      <x:c r="AH36" s="50"/>
      <x:c r="AI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  <x:c r="AA37" s="50"/>
      <x:c r="AB37" s="50"/>
      <x:c r="AC37" s="50"/>
      <x:c r="AD37" s="50"/>
      <x:c r="AE37" s="50"/>
      <x:c r="AF37" s="50"/>
      <x:c r="AG37" s="50"/>
      <x:c r="AH37" s="50"/>
      <x:c r="AI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  <x:c r="AA38" s="50"/>
      <x:c r="AB38" s="50"/>
      <x:c r="AC38" s="50"/>
      <x:c r="AD38" s="50"/>
      <x:c r="AE38" s="50"/>
      <x:c r="AF38" s="50"/>
      <x:c r="AG38" s="50"/>
      <x:c r="AH38" s="50"/>
      <x:c r="AI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  <x:c r="AA39" s="50"/>
      <x:c r="AB39" s="50"/>
      <x:c r="AC39" s="50"/>
      <x:c r="AD39" s="50"/>
      <x:c r="AE39" s="50"/>
      <x:c r="AF39" s="50"/>
      <x:c r="AG39" s="50"/>
      <x:c r="AH39" s="50"/>
      <x:c r="AI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  <x:c r="AA40" s="50"/>
      <x:c r="AB40" s="50"/>
      <x:c r="AC40" s="50"/>
      <x:c r="AD40" s="50"/>
      <x:c r="AE40" s="50"/>
      <x:c r="AF40" s="50"/>
      <x:c r="AG40" s="50"/>
      <x:c r="AH40" s="50"/>
      <x:c r="AI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  <x:c r="AA41" s="50"/>
      <x:c r="AB41" s="50"/>
      <x:c r="AC41" s="50"/>
      <x:c r="AD41" s="50"/>
      <x:c r="AE41" s="50"/>
      <x:c r="AF41" s="50"/>
      <x:c r="AG41" s="50"/>
      <x:c r="AH41" s="50"/>
      <x:c r="AI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  <x:c r="AA42" s="50"/>
      <x:c r="AB42" s="50"/>
      <x:c r="AC42" s="50"/>
      <x:c r="AD42" s="50"/>
      <x:c r="AE42" s="50"/>
      <x:c r="AF42" s="50"/>
      <x:c r="AG42" s="50"/>
      <x:c r="AH42" s="50"/>
      <x:c r="AI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  <x:c r="AA43" s="50"/>
      <x:c r="AB43" s="50"/>
      <x:c r="AC43" s="50"/>
      <x:c r="AD43" s="50"/>
      <x:c r="AE43" s="50"/>
      <x:c r="AF43" s="50"/>
      <x:c r="AG43" s="50"/>
      <x:c r="AH43" s="50"/>
      <x:c r="AI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  <x:c r="Z44" s="50"/>
      <x:c r="AA44" s="50"/>
      <x:c r="AB44" s="50"/>
      <x:c r="AC44" s="50"/>
      <x:c r="AD44" s="50"/>
      <x:c r="AE44" s="50"/>
      <x:c r="AF44" s="50"/>
      <x:c r="AG44" s="50"/>
      <x:c r="AH44" s="50"/>
      <x:c r="AI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  <x:c r="AA45" s="50"/>
      <x:c r="AB45" s="50"/>
      <x:c r="AC45" s="50"/>
      <x:c r="AD45" s="50"/>
      <x:c r="AE45" s="50"/>
      <x:c r="AF45" s="50"/>
      <x:c r="AG45" s="50"/>
      <x:c r="AH45" s="50"/>
      <x:c r="AI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  <x:c r="AA46" s="50"/>
      <x:c r="AB46" s="50"/>
      <x:c r="AC46" s="50"/>
      <x:c r="AD46" s="50"/>
      <x:c r="AE46" s="50"/>
      <x:c r="AF46" s="50"/>
      <x:c r="AG46" s="50"/>
      <x:c r="AH46" s="50"/>
      <x:c r="AI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  <x:c r="AA47" s="50"/>
      <x:c r="AB47" s="50"/>
      <x:c r="AC47" s="50"/>
      <x:c r="AD47" s="50"/>
      <x:c r="AE47" s="50"/>
      <x:c r="AF47" s="50"/>
      <x:c r="AG47" s="50"/>
      <x:c r="AH47" s="50"/>
      <x:c r="AI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  <x:c r="AA48" s="50"/>
      <x:c r="AB48" s="50"/>
      <x:c r="AC48" s="50"/>
      <x:c r="AD48" s="50"/>
      <x:c r="AE48" s="50"/>
      <x:c r="AF48" s="50"/>
      <x:c r="AG48" s="50"/>
      <x:c r="AH48" s="50"/>
      <x:c r="AI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  <x:c r="AA49" s="50"/>
      <x:c r="AB49" s="50"/>
      <x:c r="AC49" s="50"/>
      <x:c r="AD49" s="50"/>
      <x:c r="AE49" s="50"/>
      <x:c r="AF49" s="50"/>
      <x:c r="AG49" s="50"/>
      <x:c r="AH49" s="50"/>
      <x:c r="AI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  <x:c r="AA50" s="50"/>
      <x:c r="AB50" s="50"/>
      <x:c r="AC50" s="50"/>
      <x:c r="AD50" s="50"/>
      <x:c r="AE50" s="50"/>
      <x:c r="AF50" s="50"/>
      <x:c r="AG50" s="50"/>
      <x:c r="AH50" s="50"/>
      <x:c r="AI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  <x:c r="Z51" s="50"/>
      <x:c r="AA51" s="50"/>
      <x:c r="AB51" s="50"/>
      <x:c r="AC51" s="50"/>
      <x:c r="AD51" s="50"/>
      <x:c r="AE51" s="50"/>
      <x:c r="AF51" s="50"/>
      <x:c r="AG51" s="50"/>
      <x:c r="AH51" s="50"/>
      <x:c r="AI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  <x:c r="Z52" s="50"/>
      <x:c r="AA52" s="50"/>
      <x:c r="AB52" s="50"/>
      <x:c r="AC52" s="50"/>
      <x:c r="AD52" s="50"/>
      <x:c r="AE52" s="50"/>
      <x:c r="AF52" s="50"/>
      <x:c r="AG52" s="50"/>
      <x:c r="AH52" s="50"/>
      <x:c r="AI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  <x:c r="AA53" s="50"/>
      <x:c r="AB53" s="50"/>
      <x:c r="AC53" s="50"/>
      <x:c r="AD53" s="50"/>
      <x:c r="AE53" s="50"/>
      <x:c r="AF53" s="50"/>
      <x:c r="AG53" s="50"/>
      <x:c r="AH53" s="50"/>
      <x:c r="AI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  <x:c r="AA54" s="50"/>
      <x:c r="AB54" s="50"/>
      <x:c r="AC54" s="50"/>
      <x:c r="AD54" s="50"/>
      <x:c r="AE54" s="50"/>
      <x:c r="AF54" s="50"/>
      <x:c r="AG54" s="50"/>
      <x:c r="AH54" s="50"/>
      <x:c r="AI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  <x:c r="AA55" s="50"/>
      <x:c r="AB55" s="50"/>
      <x:c r="AC55" s="50"/>
      <x:c r="AD55" s="50"/>
      <x:c r="AE55" s="50"/>
      <x:c r="AF55" s="50"/>
      <x:c r="AG55" s="50"/>
      <x:c r="AH55" s="50"/>
      <x:c r="AI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  <x:c r="AA56" s="50"/>
      <x:c r="AB56" s="50"/>
      <x:c r="AC56" s="50"/>
      <x:c r="AD56" s="50"/>
      <x:c r="AE56" s="50"/>
      <x:c r="AF56" s="50"/>
      <x:c r="AG56" s="50"/>
      <x:c r="AH56" s="50"/>
      <x:c r="AI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  <x:c r="AA57" s="50"/>
      <x:c r="AB57" s="50"/>
      <x:c r="AC57" s="50"/>
      <x:c r="AD57" s="50"/>
      <x:c r="AE57" s="50"/>
      <x:c r="AF57" s="50"/>
      <x:c r="AG57" s="50"/>
      <x:c r="AH57" s="50"/>
      <x:c r="AI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  <x:c r="AA58" s="50"/>
      <x:c r="AB58" s="50"/>
      <x:c r="AC58" s="50"/>
      <x:c r="AD58" s="50"/>
      <x:c r="AE58" s="50"/>
      <x:c r="AF58" s="50"/>
      <x:c r="AG58" s="50"/>
      <x:c r="AH58" s="50"/>
      <x:c r="AI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  <x:c r="AA59" s="50"/>
      <x:c r="AB59" s="50"/>
      <x:c r="AC59" s="50"/>
      <x:c r="AD59" s="50"/>
      <x:c r="AE59" s="50"/>
      <x:c r="AF59" s="50"/>
      <x:c r="AG59" s="50"/>
      <x:c r="AH59" s="50"/>
      <x:c r="AI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  <x:c r="AA60" s="50"/>
      <x:c r="AB60" s="50"/>
      <x:c r="AC60" s="50"/>
      <x:c r="AD60" s="50"/>
      <x:c r="AE60" s="50"/>
      <x:c r="AF60" s="50"/>
      <x:c r="AG60" s="50"/>
      <x:c r="AH60" s="50"/>
      <x:c r="AI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  <x:c r="Z61" s="50"/>
      <x:c r="AA61" s="50"/>
      <x:c r="AB61" s="50"/>
      <x:c r="AC61" s="50"/>
      <x:c r="AD61" s="50"/>
      <x:c r="AE61" s="50"/>
      <x:c r="AF61" s="50"/>
      <x:c r="AG61" s="50"/>
      <x:c r="AH61" s="50"/>
      <x:c r="AI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  <x:c r="Z62" s="50"/>
      <x:c r="AA62" s="50"/>
      <x:c r="AB62" s="50"/>
      <x:c r="AC62" s="50"/>
      <x:c r="AD62" s="50"/>
      <x:c r="AE62" s="50"/>
      <x:c r="AF62" s="50"/>
      <x:c r="AG62" s="50"/>
      <x:c r="AH62" s="50"/>
      <x:c r="AI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  <x:c r="Z63" s="50"/>
      <x:c r="AA63" s="50"/>
      <x:c r="AB63" s="50"/>
      <x:c r="AC63" s="50"/>
      <x:c r="AD63" s="50"/>
      <x:c r="AE63" s="50"/>
      <x:c r="AF63" s="50"/>
      <x:c r="AG63" s="50"/>
      <x:c r="AH63" s="50"/>
      <x:c r="AI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  <x:c r="Z64" s="50"/>
      <x:c r="AA64" s="50"/>
      <x:c r="AB64" s="50"/>
      <x:c r="AC64" s="50"/>
      <x:c r="AD64" s="50"/>
      <x:c r="AE64" s="50"/>
      <x:c r="AF64" s="50"/>
      <x:c r="AG64" s="50"/>
      <x:c r="AH64" s="50"/>
      <x:c r="AI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  <x:c r="Z65" s="50"/>
      <x:c r="AA65" s="50"/>
      <x:c r="AB65" s="50"/>
      <x:c r="AC65" s="50"/>
      <x:c r="AD65" s="50"/>
      <x:c r="AE65" s="50"/>
      <x:c r="AF65" s="50"/>
      <x:c r="AG65" s="50"/>
      <x:c r="AH65" s="50"/>
      <x:c r="AI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  <x:c r="Z66" s="50"/>
      <x:c r="AA66" s="50"/>
      <x:c r="AB66" s="50"/>
      <x:c r="AC66" s="50"/>
      <x:c r="AD66" s="50"/>
      <x:c r="AE66" s="50"/>
      <x:c r="AF66" s="50"/>
      <x:c r="AG66" s="50"/>
      <x:c r="AH66" s="50"/>
      <x:c r="AI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  <x:c r="AA67" s="50"/>
      <x:c r="AB67" s="50"/>
      <x:c r="AC67" s="50"/>
      <x:c r="AD67" s="50"/>
      <x:c r="AE67" s="50"/>
      <x:c r="AF67" s="50"/>
      <x:c r="AG67" s="50"/>
      <x:c r="AH67" s="50"/>
      <x:c r="AI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  <x:c r="AA68" s="50"/>
      <x:c r="AB68" s="50"/>
      <x:c r="AC68" s="50"/>
      <x:c r="AD68" s="50"/>
      <x:c r="AE68" s="50"/>
      <x:c r="AF68" s="50"/>
      <x:c r="AG68" s="50"/>
      <x:c r="AH68" s="50"/>
      <x:c r="AI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  <x:c r="Z69" s="50"/>
      <x:c r="AA69" s="50"/>
      <x:c r="AB69" s="50"/>
      <x:c r="AC69" s="50"/>
      <x:c r="AD69" s="50"/>
      <x:c r="AE69" s="50"/>
      <x:c r="AF69" s="50"/>
      <x:c r="AG69" s="50"/>
      <x:c r="AH69" s="50"/>
      <x:c r="AI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  <x:c r="Z70" s="50"/>
      <x:c r="AA70" s="50"/>
      <x:c r="AB70" s="50"/>
      <x:c r="AC70" s="50"/>
      <x:c r="AD70" s="50"/>
      <x:c r="AE70" s="50"/>
      <x:c r="AF70" s="50"/>
      <x:c r="AG70" s="50"/>
      <x:c r="AH70" s="50"/>
      <x:c r="AI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  <x:c r="Z71" s="50"/>
      <x:c r="AA71" s="50"/>
      <x:c r="AB71" s="50"/>
      <x:c r="AC71" s="50"/>
      <x:c r="AD71" s="50"/>
      <x:c r="AE71" s="50"/>
      <x:c r="AF71" s="50"/>
      <x:c r="AG71" s="50"/>
      <x:c r="AH71" s="50"/>
      <x:c r="AI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  <x:c r="AA72" s="50"/>
      <x:c r="AB72" s="50"/>
      <x:c r="AC72" s="50"/>
      <x:c r="AD72" s="50"/>
      <x:c r="AE72" s="50"/>
      <x:c r="AF72" s="50"/>
      <x:c r="AG72" s="50"/>
      <x:c r="AH72" s="50"/>
      <x:c r="AI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  <x:c r="Z73" s="50"/>
      <x:c r="AA73" s="50"/>
      <x:c r="AB73" s="50"/>
      <x:c r="AC73" s="50"/>
      <x:c r="AD73" s="50"/>
      <x:c r="AE73" s="50"/>
      <x:c r="AF73" s="50"/>
      <x:c r="AG73" s="50"/>
      <x:c r="AH73" s="50"/>
      <x:c r="AI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  <x:c r="Z74" s="50"/>
      <x:c r="AA74" s="50"/>
      <x:c r="AB74" s="50"/>
      <x:c r="AC74" s="50"/>
      <x:c r="AD74" s="50"/>
      <x:c r="AE74" s="50"/>
      <x:c r="AF74" s="50"/>
      <x:c r="AG74" s="50"/>
      <x:c r="AH74" s="50"/>
      <x:c r="AI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  <x:c r="AA75" s="50"/>
      <x:c r="AB75" s="50"/>
      <x:c r="AC75" s="50"/>
      <x:c r="AD75" s="50"/>
      <x:c r="AE75" s="50"/>
      <x:c r="AF75" s="50"/>
      <x:c r="AG75" s="50"/>
      <x:c r="AH75" s="50"/>
      <x:c r="AI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  <x:c r="AA76" s="50"/>
      <x:c r="AB76" s="50"/>
      <x:c r="AC76" s="50"/>
      <x:c r="AD76" s="50"/>
      <x:c r="AE76" s="50"/>
      <x:c r="AF76" s="50"/>
      <x:c r="AG76" s="50"/>
      <x:c r="AH76" s="50"/>
      <x:c r="AI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  <x:c r="Z77" s="50"/>
      <x:c r="AA77" s="50"/>
      <x:c r="AB77" s="50"/>
      <x:c r="AC77" s="50"/>
      <x:c r="AD77" s="50"/>
      <x:c r="AE77" s="50"/>
      <x:c r="AF77" s="50"/>
      <x:c r="AG77" s="50"/>
      <x:c r="AH77" s="50"/>
      <x:c r="AI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  <x:c r="Z78" s="50"/>
      <x:c r="AA78" s="50"/>
      <x:c r="AB78" s="50"/>
      <x:c r="AC78" s="50"/>
      <x:c r="AD78" s="50"/>
      <x:c r="AE78" s="50"/>
      <x:c r="AF78" s="50"/>
      <x:c r="AG78" s="50"/>
      <x:c r="AH78" s="50"/>
      <x:c r="AI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  <x:c r="Z79" s="50"/>
      <x:c r="AA79" s="50"/>
      <x:c r="AB79" s="50"/>
      <x:c r="AC79" s="50"/>
      <x:c r="AD79" s="50"/>
      <x:c r="AE79" s="50"/>
      <x:c r="AF79" s="50"/>
      <x:c r="AG79" s="50"/>
      <x:c r="AH79" s="50"/>
      <x:c r="AI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  <x:c r="AA80" s="50"/>
      <x:c r="AB80" s="50"/>
      <x:c r="AC80" s="50"/>
      <x:c r="AD80" s="50"/>
      <x:c r="AE80" s="50"/>
      <x:c r="AF80" s="50"/>
      <x:c r="AG80" s="50"/>
      <x:c r="AH80" s="50"/>
      <x:c r="AI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  <x:c r="AA81" s="50"/>
      <x:c r="AB81" s="50"/>
      <x:c r="AC81" s="50"/>
      <x:c r="AD81" s="50"/>
      <x:c r="AE81" s="50"/>
      <x:c r="AF81" s="50"/>
      <x:c r="AG81" s="50"/>
      <x:c r="AH81" s="50"/>
      <x:c r="AI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  <x:c r="AA82" s="50"/>
      <x:c r="AB82" s="50"/>
      <x:c r="AC82" s="50"/>
      <x:c r="AD82" s="50"/>
      <x:c r="AE82" s="50"/>
      <x:c r="AF82" s="50"/>
      <x:c r="AG82" s="50"/>
      <x:c r="AH82" s="50"/>
      <x:c r="AI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  <x:c r="AA83" s="50"/>
      <x:c r="AB83" s="50"/>
      <x:c r="AC83" s="50"/>
      <x:c r="AD83" s="50"/>
      <x:c r="AE83" s="50"/>
      <x:c r="AF83" s="50"/>
      <x:c r="AG83" s="50"/>
      <x:c r="AH83" s="50"/>
      <x:c r="AI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  <x:c r="AA84" s="50"/>
      <x:c r="AB84" s="50"/>
      <x:c r="AC84" s="50"/>
      <x:c r="AD84" s="50"/>
      <x:c r="AE84" s="50"/>
      <x:c r="AF84" s="50"/>
      <x:c r="AG84" s="50"/>
      <x:c r="AH84" s="50"/>
      <x:c r="AI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  <x:c r="AA85" s="50"/>
      <x:c r="AB85" s="50"/>
      <x:c r="AC85" s="50"/>
      <x:c r="AD85" s="50"/>
      <x:c r="AE85" s="50"/>
      <x:c r="AF85" s="50"/>
      <x:c r="AG85" s="50"/>
      <x:c r="AH85" s="50"/>
      <x:c r="AI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  <x:c r="AA86" s="50"/>
      <x:c r="AB86" s="50"/>
      <x:c r="AC86" s="50"/>
      <x:c r="AD86" s="50"/>
      <x:c r="AE86" s="50"/>
      <x:c r="AF86" s="50"/>
      <x:c r="AG86" s="50"/>
      <x:c r="AH86" s="50"/>
      <x:c r="AI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  <x:c r="Z87" s="50"/>
      <x:c r="AA87" s="50"/>
      <x:c r="AB87" s="50"/>
      <x:c r="AC87" s="50"/>
      <x:c r="AD87" s="50"/>
      <x:c r="AE87" s="50"/>
      <x:c r="AF87" s="50"/>
      <x:c r="AG87" s="50"/>
      <x:c r="AH87" s="50"/>
      <x:c r="AI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  <x:c r="Z88" s="50"/>
      <x:c r="AA88" s="50"/>
      <x:c r="AB88" s="50"/>
      <x:c r="AC88" s="50"/>
      <x:c r="AD88" s="50"/>
      <x:c r="AE88" s="50"/>
      <x:c r="AF88" s="50"/>
      <x:c r="AG88" s="50"/>
      <x:c r="AH88" s="50"/>
      <x:c r="AI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  <x:c r="Z89" s="50"/>
      <x:c r="AA89" s="50"/>
      <x:c r="AB89" s="50"/>
      <x:c r="AC89" s="50"/>
      <x:c r="AD89" s="50"/>
      <x:c r="AE89" s="50"/>
      <x:c r="AF89" s="50"/>
      <x:c r="AG89" s="50"/>
      <x:c r="AH89" s="50"/>
      <x:c r="AI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  <x:c r="Z90" s="50"/>
      <x:c r="AA90" s="50"/>
      <x:c r="AB90" s="50"/>
      <x:c r="AC90" s="50"/>
      <x:c r="AD90" s="50"/>
      <x:c r="AE90" s="50"/>
      <x:c r="AF90" s="50"/>
      <x:c r="AG90" s="50"/>
      <x:c r="AH90" s="50"/>
      <x:c r="AI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  <x:c r="Z91" s="50"/>
      <x:c r="AA91" s="50"/>
      <x:c r="AB91" s="50"/>
      <x:c r="AC91" s="50"/>
      <x:c r="AD91" s="50"/>
      <x:c r="AE91" s="50"/>
      <x:c r="AF91" s="50"/>
      <x:c r="AG91" s="50"/>
      <x:c r="AH91" s="50"/>
      <x:c r="AI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  <x:c r="Z92" s="50"/>
      <x:c r="AA92" s="50"/>
      <x:c r="AB92" s="50"/>
      <x:c r="AC92" s="50"/>
      <x:c r="AD92" s="50"/>
      <x:c r="AE92" s="50"/>
      <x:c r="AF92" s="50"/>
      <x:c r="AG92" s="50"/>
      <x:c r="AH92" s="50"/>
      <x:c r="AI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  <x:c r="AA93" s="50"/>
      <x:c r="AB93" s="50"/>
      <x:c r="AC93" s="50"/>
      <x:c r="AD93" s="50"/>
      <x:c r="AE93" s="50"/>
      <x:c r="AF93" s="50"/>
      <x:c r="AG93" s="50"/>
      <x:c r="AH93" s="50"/>
      <x:c r="AI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  <x:c r="AA94" s="50"/>
      <x:c r="AB94" s="50"/>
      <x:c r="AC94" s="50"/>
      <x:c r="AD94" s="50"/>
      <x:c r="AE94" s="50"/>
      <x:c r="AF94" s="50"/>
      <x:c r="AG94" s="50"/>
      <x:c r="AH94" s="50"/>
      <x:c r="AI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  <x:c r="Z95" s="50"/>
      <x:c r="AA95" s="50"/>
      <x:c r="AB95" s="50"/>
      <x:c r="AC95" s="50"/>
      <x:c r="AD95" s="50"/>
      <x:c r="AE95" s="50"/>
      <x:c r="AF95" s="50"/>
      <x:c r="AG95" s="50"/>
      <x:c r="AH95" s="50"/>
      <x:c r="AI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  <x:c r="Z96" s="50"/>
      <x:c r="AA96" s="50"/>
      <x:c r="AB96" s="50"/>
      <x:c r="AC96" s="50"/>
      <x:c r="AD96" s="50"/>
      <x:c r="AE96" s="50"/>
      <x:c r="AF96" s="50"/>
      <x:c r="AG96" s="50"/>
      <x:c r="AH96" s="50"/>
      <x:c r="AI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  <x:c r="Z97" s="50"/>
      <x:c r="AA97" s="50"/>
      <x:c r="AB97" s="50"/>
      <x:c r="AC97" s="50"/>
      <x:c r="AD97" s="50"/>
      <x:c r="AE97" s="50"/>
      <x:c r="AF97" s="50"/>
      <x:c r="AG97" s="50"/>
      <x:c r="AH97" s="50"/>
      <x:c r="AI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  <x:c r="Z98" s="50"/>
      <x:c r="AA98" s="50"/>
      <x:c r="AB98" s="50"/>
      <x:c r="AC98" s="50"/>
      <x:c r="AD98" s="50"/>
      <x:c r="AE98" s="50"/>
      <x:c r="AF98" s="50"/>
      <x:c r="AG98" s="50"/>
      <x:c r="AH98" s="50"/>
      <x:c r="AI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  <x:c r="Z99" s="50"/>
      <x:c r="AA99" s="50"/>
      <x:c r="AB99" s="50"/>
      <x:c r="AC99" s="50"/>
      <x:c r="AD99" s="50"/>
      <x:c r="AE99" s="50"/>
      <x:c r="AF99" s="50"/>
      <x:c r="AG99" s="50"/>
      <x:c r="AH99" s="50"/>
      <x:c r="AI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  <x:c r="Z100" s="50"/>
      <x:c r="AA100" s="50"/>
      <x:c r="AB100" s="50"/>
      <x:c r="AC100" s="50"/>
      <x:c r="AD100" s="50"/>
      <x:c r="AE100" s="50"/>
      <x:c r="AF100" s="50"/>
      <x:c r="AG100" s="50"/>
      <x:c r="AH100" s="50"/>
      <x:c r="AI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  <x:c r="Z101" s="50"/>
      <x:c r="AA101" s="50"/>
      <x:c r="AB101" s="50"/>
      <x:c r="AC101" s="50"/>
      <x:c r="AD101" s="50"/>
      <x:c r="AE101" s="50"/>
      <x:c r="AF101" s="50"/>
      <x:c r="AG101" s="50"/>
      <x:c r="AH101" s="50"/>
      <x:c r="AI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  <x:c r="Z102" s="50"/>
      <x:c r="AA102" s="50"/>
      <x:c r="AB102" s="50"/>
      <x:c r="AC102" s="50"/>
      <x:c r="AD102" s="50"/>
      <x:c r="AE102" s="50"/>
      <x:c r="AF102" s="50"/>
      <x:c r="AG102" s="50"/>
      <x:c r="AH102" s="50"/>
      <x:c r="AI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  <x:c r="AA103" s="50"/>
      <x:c r="AB103" s="50"/>
      <x:c r="AC103" s="50"/>
      <x:c r="AD103" s="50"/>
      <x:c r="AE103" s="50"/>
      <x:c r="AF103" s="50"/>
      <x:c r="AG103" s="50"/>
      <x:c r="AH103" s="50"/>
      <x:c r="AI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  <x:c r="Z104" s="50"/>
      <x:c r="AA104" s="50"/>
      <x:c r="AB104" s="50"/>
      <x:c r="AC104" s="50"/>
      <x:c r="AD104" s="50"/>
      <x:c r="AE104" s="50"/>
      <x:c r="AF104" s="50"/>
      <x:c r="AG104" s="50"/>
      <x:c r="AH104" s="50"/>
      <x:c r="AI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  <x:c r="Z105" s="50"/>
      <x:c r="AA105" s="50"/>
      <x:c r="AB105" s="50"/>
      <x:c r="AC105" s="50"/>
      <x:c r="AD105" s="50"/>
      <x:c r="AE105" s="50"/>
      <x:c r="AF105" s="50"/>
      <x:c r="AG105" s="50"/>
      <x:c r="AH105" s="50"/>
      <x:c r="AI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  <x:c r="AA106" s="50"/>
      <x:c r="AB106" s="50"/>
      <x:c r="AC106" s="50"/>
      <x:c r="AD106" s="50"/>
      <x:c r="AE106" s="50"/>
      <x:c r="AF106" s="50"/>
      <x:c r="AG106" s="50"/>
      <x:c r="AH106" s="50"/>
      <x:c r="AI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  <x:c r="AA107" s="50"/>
      <x:c r="AB107" s="50"/>
      <x:c r="AC107" s="50"/>
      <x:c r="AD107" s="50"/>
      <x:c r="AE107" s="50"/>
      <x:c r="AF107" s="50"/>
      <x:c r="AG107" s="50"/>
      <x:c r="AH107" s="50"/>
      <x:c r="AI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  <x:c r="Z108" s="50"/>
      <x:c r="AA108" s="50"/>
      <x:c r="AB108" s="50"/>
      <x:c r="AC108" s="50"/>
      <x:c r="AD108" s="50"/>
      <x:c r="AE108" s="50"/>
      <x:c r="AF108" s="50"/>
      <x:c r="AG108" s="50"/>
      <x:c r="AH108" s="50"/>
      <x:c r="AI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  <x:c r="Z109" s="50"/>
      <x:c r="AA109" s="50"/>
      <x:c r="AB109" s="50"/>
      <x:c r="AC109" s="50"/>
      <x:c r="AD109" s="50"/>
      <x:c r="AE109" s="50"/>
      <x:c r="AF109" s="50"/>
      <x:c r="AG109" s="50"/>
      <x:c r="AH109" s="50"/>
      <x:c r="AI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  <x:c r="Z110" s="50"/>
      <x:c r="AA110" s="50"/>
      <x:c r="AB110" s="50"/>
      <x:c r="AC110" s="50"/>
      <x:c r="AD110" s="50"/>
      <x:c r="AE110" s="50"/>
      <x:c r="AF110" s="50"/>
      <x:c r="AG110" s="50"/>
      <x:c r="AH110" s="50"/>
      <x:c r="AI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  <x:c r="Z111" s="50"/>
      <x:c r="AA111" s="50"/>
      <x:c r="AB111" s="50"/>
      <x:c r="AC111" s="50"/>
      <x:c r="AD111" s="50"/>
      <x:c r="AE111" s="50"/>
      <x:c r="AF111" s="50"/>
      <x:c r="AG111" s="50"/>
      <x:c r="AH111" s="50"/>
      <x:c r="AI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  <x:c r="Z112" s="50"/>
      <x:c r="AA112" s="50"/>
      <x:c r="AB112" s="50"/>
      <x:c r="AC112" s="50"/>
      <x:c r="AD112" s="50"/>
      <x:c r="AE112" s="50"/>
      <x:c r="AF112" s="50"/>
      <x:c r="AG112" s="50"/>
      <x:c r="AH112" s="50"/>
      <x:c r="AI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  <x:c r="Z113" s="50"/>
      <x:c r="AA113" s="50"/>
      <x:c r="AB113" s="50"/>
      <x:c r="AC113" s="50"/>
      <x:c r="AD113" s="50"/>
      <x:c r="AE113" s="50"/>
      <x:c r="AF113" s="50"/>
      <x:c r="AG113" s="50"/>
      <x:c r="AH113" s="50"/>
      <x:c r="AI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  <x:c r="Z114" s="50"/>
      <x:c r="AA114" s="50"/>
      <x:c r="AB114" s="50"/>
      <x:c r="AC114" s="50"/>
      <x:c r="AD114" s="50"/>
      <x:c r="AE114" s="50"/>
      <x:c r="AF114" s="50"/>
      <x:c r="AG114" s="50"/>
      <x:c r="AH114" s="50"/>
      <x:c r="AI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  <x:c r="Z115" s="50"/>
      <x:c r="AA115" s="50"/>
      <x:c r="AB115" s="50"/>
      <x:c r="AC115" s="50"/>
      <x:c r="AD115" s="50"/>
      <x:c r="AE115" s="50"/>
      <x:c r="AF115" s="50"/>
      <x:c r="AG115" s="50"/>
      <x:c r="AH115" s="50"/>
      <x:c r="AI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  <x:c r="Z116" s="50"/>
      <x:c r="AA116" s="50"/>
      <x:c r="AB116" s="50"/>
      <x:c r="AC116" s="50"/>
      <x:c r="AD116" s="50"/>
      <x:c r="AE116" s="50"/>
      <x:c r="AF116" s="50"/>
      <x:c r="AG116" s="50"/>
      <x:c r="AH116" s="50"/>
      <x:c r="AI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  <x:c r="Z117" s="50"/>
      <x:c r="AA117" s="50"/>
      <x:c r="AB117" s="50"/>
      <x:c r="AC117" s="50"/>
      <x:c r="AD117" s="50"/>
      <x:c r="AE117" s="50"/>
      <x:c r="AF117" s="50"/>
      <x:c r="AG117" s="50"/>
      <x:c r="AH117" s="50"/>
      <x:c r="AI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  <x:c r="Z118" s="50"/>
      <x:c r="AA118" s="50"/>
      <x:c r="AB118" s="50"/>
      <x:c r="AC118" s="50"/>
      <x:c r="AD118" s="50"/>
      <x:c r="AE118" s="50"/>
      <x:c r="AF118" s="50"/>
      <x:c r="AG118" s="50"/>
      <x:c r="AH118" s="50"/>
      <x:c r="AI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  <x:c r="AA119" s="50"/>
      <x:c r="AB119" s="50"/>
      <x:c r="AC119" s="50"/>
      <x:c r="AD119" s="50"/>
      <x:c r="AE119" s="50"/>
      <x:c r="AF119" s="50"/>
      <x:c r="AG119" s="50"/>
      <x:c r="AH119" s="50"/>
      <x:c r="AI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  <x:c r="AA120" s="50"/>
      <x:c r="AB120" s="50"/>
      <x:c r="AC120" s="50"/>
      <x:c r="AD120" s="50"/>
      <x:c r="AE120" s="50"/>
      <x:c r="AF120" s="50"/>
      <x:c r="AG120" s="50"/>
      <x:c r="AH120" s="50"/>
      <x:c r="AI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  <x:c r="Z121" s="50"/>
      <x:c r="AA121" s="50"/>
      <x:c r="AB121" s="50"/>
      <x:c r="AC121" s="50"/>
      <x:c r="AD121" s="50"/>
      <x:c r="AE121" s="50"/>
      <x:c r="AF121" s="50"/>
      <x:c r="AG121" s="50"/>
      <x:c r="AH121" s="50"/>
      <x:c r="AI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  <x:c r="Z122" s="50"/>
      <x:c r="AA122" s="50"/>
      <x:c r="AB122" s="50"/>
      <x:c r="AC122" s="50"/>
      <x:c r="AD122" s="50"/>
      <x:c r="AE122" s="50"/>
      <x:c r="AF122" s="50"/>
      <x:c r="AG122" s="50"/>
      <x:c r="AH122" s="50"/>
      <x:c r="AI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  <x:c r="Z123" s="50"/>
      <x:c r="AA123" s="50"/>
      <x:c r="AB123" s="50"/>
      <x:c r="AC123" s="50"/>
      <x:c r="AD123" s="50"/>
      <x:c r="AE123" s="50"/>
      <x:c r="AF123" s="50"/>
      <x:c r="AG123" s="50"/>
      <x:c r="AH123" s="50"/>
      <x:c r="AI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  <x:c r="Z124" s="50"/>
      <x:c r="AA124" s="50"/>
      <x:c r="AB124" s="50"/>
      <x:c r="AC124" s="50"/>
      <x:c r="AD124" s="50"/>
      <x:c r="AE124" s="50"/>
      <x:c r="AF124" s="50"/>
      <x:c r="AG124" s="50"/>
      <x:c r="AH124" s="50"/>
      <x:c r="AI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  <x:c r="Z125" s="50"/>
      <x:c r="AA125" s="50"/>
      <x:c r="AB125" s="50"/>
      <x:c r="AC125" s="50"/>
      <x:c r="AD125" s="50"/>
      <x:c r="AE125" s="50"/>
      <x:c r="AF125" s="50"/>
      <x:c r="AG125" s="50"/>
      <x:c r="AH125" s="50"/>
      <x:c r="AI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  <x:c r="AA126" s="50"/>
      <x:c r="AB126" s="50"/>
      <x:c r="AC126" s="50"/>
      <x:c r="AD126" s="50"/>
      <x:c r="AE126" s="50"/>
      <x:c r="AF126" s="50"/>
      <x:c r="AG126" s="50"/>
      <x:c r="AH126" s="50"/>
      <x:c r="AI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  <x:c r="AA127" s="50"/>
      <x:c r="AB127" s="50"/>
      <x:c r="AC127" s="50"/>
      <x:c r="AD127" s="50"/>
      <x:c r="AE127" s="50"/>
      <x:c r="AF127" s="50"/>
      <x:c r="AG127" s="50"/>
      <x:c r="AH127" s="50"/>
      <x:c r="AI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  <x:c r="AA128" s="50"/>
      <x:c r="AB128" s="50"/>
      <x:c r="AC128" s="50"/>
      <x:c r="AD128" s="50"/>
      <x:c r="AE128" s="50"/>
      <x:c r="AF128" s="50"/>
      <x:c r="AG128" s="50"/>
      <x:c r="AH128" s="50"/>
      <x:c r="AI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  <x:c r="AA129" s="50"/>
      <x:c r="AB129" s="50"/>
      <x:c r="AC129" s="50"/>
      <x:c r="AD129" s="50"/>
      <x:c r="AE129" s="50"/>
      <x:c r="AF129" s="50"/>
      <x:c r="AG129" s="50"/>
      <x:c r="AH129" s="50"/>
      <x:c r="AI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  <x:c r="AA130" s="50"/>
      <x:c r="AB130" s="50"/>
      <x:c r="AC130" s="50"/>
      <x:c r="AD130" s="50"/>
      <x:c r="AE130" s="50"/>
      <x:c r="AF130" s="50"/>
      <x:c r="AG130" s="50"/>
      <x:c r="AH130" s="50"/>
      <x:c r="AI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  <x:c r="AA131" s="50"/>
      <x:c r="AB131" s="50"/>
      <x:c r="AC131" s="50"/>
      <x:c r="AD131" s="50"/>
      <x:c r="AE131" s="50"/>
      <x:c r="AF131" s="50"/>
      <x:c r="AG131" s="50"/>
      <x:c r="AH131" s="50"/>
      <x:c r="AI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  <x:c r="AA132" s="50"/>
      <x:c r="AB132" s="50"/>
      <x:c r="AC132" s="50"/>
      <x:c r="AD132" s="50"/>
      <x:c r="AE132" s="50"/>
      <x:c r="AF132" s="50"/>
      <x:c r="AG132" s="50"/>
      <x:c r="AH132" s="50"/>
      <x:c r="AI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  <x:c r="AA133" s="50"/>
      <x:c r="AB133" s="50"/>
      <x:c r="AC133" s="50"/>
      <x:c r="AD133" s="50"/>
      <x:c r="AE133" s="50"/>
      <x:c r="AF133" s="50"/>
      <x:c r="AG133" s="50"/>
      <x:c r="AH133" s="50"/>
      <x:c r="AI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  <x:c r="AA134" s="50"/>
      <x:c r="AB134" s="50"/>
      <x:c r="AC134" s="50"/>
      <x:c r="AD134" s="50"/>
      <x:c r="AE134" s="50"/>
      <x:c r="AF134" s="50"/>
      <x:c r="AG134" s="50"/>
      <x:c r="AH134" s="50"/>
      <x:c r="AI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  <x:c r="AA135" s="50"/>
      <x:c r="AB135" s="50"/>
      <x:c r="AC135" s="50"/>
      <x:c r="AD135" s="50"/>
      <x:c r="AE135" s="50"/>
      <x:c r="AF135" s="50"/>
      <x:c r="AG135" s="50"/>
      <x:c r="AH135" s="50"/>
      <x:c r="AI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  <x:c r="AA136" s="50"/>
      <x:c r="AB136" s="50"/>
      <x:c r="AC136" s="50"/>
      <x:c r="AD136" s="50"/>
      <x:c r="AE136" s="50"/>
      <x:c r="AF136" s="50"/>
      <x:c r="AG136" s="50"/>
      <x:c r="AH136" s="50"/>
      <x:c r="AI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  <x:c r="AA137" s="50"/>
      <x:c r="AB137" s="50"/>
      <x:c r="AC137" s="50"/>
      <x:c r="AD137" s="50"/>
      <x:c r="AE137" s="50"/>
      <x:c r="AF137" s="50"/>
      <x:c r="AG137" s="50"/>
      <x:c r="AH137" s="50"/>
      <x:c r="AI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  <x:c r="AA138" s="50"/>
      <x:c r="AB138" s="50"/>
      <x:c r="AC138" s="50"/>
      <x:c r="AD138" s="50"/>
      <x:c r="AE138" s="50"/>
      <x:c r="AF138" s="50"/>
      <x:c r="AG138" s="50"/>
      <x:c r="AH138" s="50"/>
      <x:c r="AI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  <x:c r="AA139" s="50"/>
      <x:c r="AB139" s="50"/>
      <x:c r="AC139" s="50"/>
      <x:c r="AD139" s="50"/>
      <x:c r="AE139" s="50"/>
      <x:c r="AF139" s="50"/>
      <x:c r="AG139" s="50"/>
      <x:c r="AH139" s="50"/>
      <x:c r="AI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  <x:c r="AA140" s="50"/>
      <x:c r="AB140" s="50"/>
      <x:c r="AC140" s="50"/>
      <x:c r="AD140" s="50"/>
      <x:c r="AE140" s="50"/>
      <x:c r="AF140" s="50"/>
      <x:c r="AG140" s="50"/>
      <x:c r="AH140" s="50"/>
      <x:c r="AI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  <x:c r="AA141" s="50"/>
      <x:c r="AB141" s="50"/>
      <x:c r="AC141" s="50"/>
      <x:c r="AD141" s="50"/>
      <x:c r="AE141" s="50"/>
      <x:c r="AF141" s="50"/>
      <x:c r="AG141" s="50"/>
      <x:c r="AH141" s="50"/>
      <x:c r="AI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  <x:c r="AA142" s="50"/>
      <x:c r="AB142" s="50"/>
      <x:c r="AC142" s="50"/>
      <x:c r="AD142" s="50"/>
      <x:c r="AE142" s="50"/>
      <x:c r="AF142" s="50"/>
      <x:c r="AG142" s="50"/>
      <x:c r="AH142" s="50"/>
      <x:c r="AI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  <x:c r="AA143" s="50"/>
      <x:c r="AB143" s="50"/>
      <x:c r="AC143" s="50"/>
      <x:c r="AD143" s="50"/>
      <x:c r="AE143" s="50"/>
      <x:c r="AF143" s="50"/>
      <x:c r="AG143" s="50"/>
      <x:c r="AH143" s="50"/>
      <x:c r="AI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  <x:c r="AA144" s="50"/>
      <x:c r="AB144" s="50"/>
      <x:c r="AC144" s="50"/>
      <x:c r="AD144" s="50"/>
      <x:c r="AE144" s="50"/>
      <x:c r="AF144" s="50"/>
      <x:c r="AG144" s="50"/>
      <x:c r="AH144" s="50"/>
      <x:c r="AI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  <x:c r="AA145" s="50"/>
      <x:c r="AB145" s="50"/>
      <x:c r="AC145" s="50"/>
      <x:c r="AD145" s="50"/>
      <x:c r="AE145" s="50"/>
      <x:c r="AF145" s="50"/>
      <x:c r="AG145" s="50"/>
      <x:c r="AH145" s="50"/>
      <x:c r="AI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  <x:c r="AA146" s="50"/>
      <x:c r="AB146" s="50"/>
      <x:c r="AC146" s="50"/>
      <x:c r="AD146" s="50"/>
      <x:c r="AE146" s="50"/>
      <x:c r="AF146" s="50"/>
      <x:c r="AG146" s="50"/>
      <x:c r="AH146" s="50"/>
      <x:c r="AI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  <x:c r="AA147" s="50"/>
      <x:c r="AB147" s="50"/>
      <x:c r="AC147" s="50"/>
      <x:c r="AD147" s="50"/>
      <x:c r="AE147" s="50"/>
      <x:c r="AF147" s="50"/>
      <x:c r="AG147" s="50"/>
      <x:c r="AH147" s="50"/>
      <x:c r="AI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  <x:c r="AA148" s="50"/>
      <x:c r="AB148" s="50"/>
      <x:c r="AC148" s="50"/>
      <x:c r="AD148" s="50"/>
      <x:c r="AE148" s="50"/>
      <x:c r="AF148" s="50"/>
      <x:c r="AG148" s="50"/>
      <x:c r="AH148" s="50"/>
      <x:c r="AI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  <x:c r="AA149" s="50"/>
      <x:c r="AB149" s="50"/>
      <x:c r="AC149" s="50"/>
      <x:c r="AD149" s="50"/>
      <x:c r="AE149" s="50"/>
      <x:c r="AF149" s="50"/>
      <x:c r="AG149" s="50"/>
      <x:c r="AH149" s="50"/>
      <x:c r="AI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  <x:c r="AA150" s="50"/>
      <x:c r="AB150" s="50"/>
      <x:c r="AC150" s="50"/>
      <x:c r="AD150" s="50"/>
      <x:c r="AE150" s="50"/>
      <x:c r="AF150" s="50"/>
      <x:c r="AG150" s="50"/>
      <x:c r="AH150" s="50"/>
      <x:c r="AI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  <x:c r="AA151" s="50"/>
      <x:c r="AB151" s="50"/>
      <x:c r="AC151" s="50"/>
      <x:c r="AD151" s="50"/>
      <x:c r="AE151" s="50"/>
      <x:c r="AF151" s="50"/>
      <x:c r="AG151" s="50"/>
      <x:c r="AH151" s="50"/>
      <x:c r="AI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  <x:c r="AA152" s="50"/>
      <x:c r="AB152" s="50"/>
      <x:c r="AC152" s="50"/>
      <x:c r="AD152" s="50"/>
      <x:c r="AE152" s="50"/>
      <x:c r="AF152" s="50"/>
      <x:c r="AG152" s="50"/>
      <x:c r="AH152" s="50"/>
      <x:c r="AI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  <x:c r="AA153" s="50"/>
      <x:c r="AB153" s="50"/>
      <x:c r="AC153" s="50"/>
      <x:c r="AD153" s="50"/>
      <x:c r="AE153" s="50"/>
      <x:c r="AF153" s="50"/>
      <x:c r="AG153" s="50"/>
      <x:c r="AH153" s="50"/>
      <x:c r="AI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  <x:c r="AA154" s="50"/>
      <x:c r="AB154" s="50"/>
      <x:c r="AC154" s="50"/>
      <x:c r="AD154" s="50"/>
      <x:c r="AE154" s="50"/>
      <x:c r="AF154" s="50"/>
      <x:c r="AG154" s="50"/>
      <x:c r="AH154" s="50"/>
      <x:c r="AI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  <x:c r="AA155" s="50"/>
      <x:c r="AB155" s="50"/>
      <x:c r="AC155" s="50"/>
      <x:c r="AD155" s="50"/>
      <x:c r="AE155" s="50"/>
      <x:c r="AF155" s="50"/>
      <x:c r="AG155" s="50"/>
      <x:c r="AH155" s="50"/>
      <x:c r="AI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  <x:c r="AA156" s="50"/>
      <x:c r="AB156" s="50"/>
      <x:c r="AC156" s="50"/>
      <x:c r="AD156" s="50"/>
      <x:c r="AE156" s="50"/>
      <x:c r="AF156" s="50"/>
      <x:c r="AG156" s="50"/>
      <x:c r="AH156" s="50"/>
      <x:c r="AI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  <x:c r="AA157" s="50"/>
      <x:c r="AB157" s="50"/>
      <x:c r="AC157" s="50"/>
      <x:c r="AD157" s="50"/>
      <x:c r="AE157" s="50"/>
      <x:c r="AF157" s="50"/>
      <x:c r="AG157" s="50"/>
      <x:c r="AH157" s="50"/>
      <x:c r="AI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  <x:c r="AA158" s="50"/>
      <x:c r="AB158" s="50"/>
      <x:c r="AC158" s="50"/>
      <x:c r="AD158" s="50"/>
      <x:c r="AE158" s="50"/>
      <x:c r="AF158" s="50"/>
      <x:c r="AG158" s="50"/>
      <x:c r="AH158" s="50"/>
      <x:c r="AI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  <x:c r="AA159" s="50"/>
      <x:c r="AB159" s="50"/>
      <x:c r="AC159" s="50"/>
      <x:c r="AD159" s="50"/>
      <x:c r="AE159" s="50"/>
      <x:c r="AF159" s="50"/>
      <x:c r="AG159" s="50"/>
      <x:c r="AH159" s="50"/>
      <x:c r="AI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  <x:c r="AA160" s="50"/>
      <x:c r="AB160" s="50"/>
      <x:c r="AC160" s="50"/>
      <x:c r="AD160" s="50"/>
      <x:c r="AE160" s="50"/>
      <x:c r="AF160" s="50"/>
      <x:c r="AG160" s="50"/>
      <x:c r="AH160" s="50"/>
      <x:c r="AI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  <x:c r="AA161" s="50"/>
      <x:c r="AB161" s="50"/>
      <x:c r="AC161" s="50"/>
      <x:c r="AD161" s="50"/>
      <x:c r="AE161" s="50"/>
      <x:c r="AF161" s="50"/>
      <x:c r="AG161" s="50"/>
      <x:c r="AH161" s="50"/>
      <x:c r="AI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  <x:c r="AA162" s="50"/>
      <x:c r="AB162" s="50"/>
      <x:c r="AC162" s="50"/>
      <x:c r="AD162" s="50"/>
      <x:c r="AE162" s="50"/>
      <x:c r="AF162" s="50"/>
      <x:c r="AG162" s="50"/>
      <x:c r="AH162" s="50"/>
      <x:c r="AI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  <x:c r="AA163" s="50"/>
      <x:c r="AB163" s="50"/>
      <x:c r="AC163" s="50"/>
      <x:c r="AD163" s="50"/>
      <x:c r="AE163" s="50"/>
      <x:c r="AF163" s="50"/>
      <x:c r="AG163" s="50"/>
      <x:c r="AH163" s="50"/>
      <x:c r="AI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  <x:c r="AA164" s="50"/>
      <x:c r="AB164" s="50"/>
      <x:c r="AC164" s="50"/>
      <x:c r="AD164" s="50"/>
      <x:c r="AE164" s="50"/>
      <x:c r="AF164" s="50"/>
      <x:c r="AG164" s="50"/>
      <x:c r="AH164" s="50"/>
      <x:c r="AI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  <x:c r="AA165" s="50"/>
      <x:c r="AB165" s="50"/>
      <x:c r="AC165" s="50"/>
      <x:c r="AD165" s="50"/>
      <x:c r="AE165" s="50"/>
      <x:c r="AF165" s="50"/>
      <x:c r="AG165" s="50"/>
      <x:c r="AH165" s="50"/>
      <x:c r="AI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  <x:c r="AA166" s="50"/>
      <x:c r="AB166" s="50"/>
      <x:c r="AC166" s="50"/>
      <x:c r="AD166" s="50"/>
      <x:c r="AE166" s="50"/>
      <x:c r="AF166" s="50"/>
      <x:c r="AG166" s="50"/>
      <x:c r="AH166" s="50"/>
      <x:c r="AI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  <x:c r="AA167" s="50"/>
      <x:c r="AB167" s="50"/>
      <x:c r="AC167" s="50"/>
      <x:c r="AD167" s="50"/>
      <x:c r="AE167" s="50"/>
      <x:c r="AF167" s="50"/>
      <x:c r="AG167" s="50"/>
      <x:c r="AH167" s="50"/>
      <x:c r="AI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  <x:c r="AA168" s="50"/>
      <x:c r="AB168" s="50"/>
      <x:c r="AC168" s="50"/>
      <x:c r="AD168" s="50"/>
      <x:c r="AE168" s="50"/>
      <x:c r="AF168" s="50"/>
      <x:c r="AG168" s="50"/>
      <x:c r="AH168" s="50"/>
      <x:c r="AI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  <x:c r="AA169" s="50"/>
      <x:c r="AB169" s="50"/>
      <x:c r="AC169" s="50"/>
      <x:c r="AD169" s="50"/>
      <x:c r="AE169" s="50"/>
      <x:c r="AF169" s="50"/>
      <x:c r="AG169" s="50"/>
      <x:c r="AH169" s="50"/>
      <x:c r="AI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  <x:c r="AA170" s="50"/>
      <x:c r="AB170" s="50"/>
      <x:c r="AC170" s="50"/>
      <x:c r="AD170" s="50"/>
      <x:c r="AE170" s="50"/>
      <x:c r="AF170" s="50"/>
      <x:c r="AG170" s="50"/>
      <x:c r="AH170" s="50"/>
      <x:c r="AI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  <x:c r="AA171" s="50"/>
      <x:c r="AB171" s="50"/>
      <x:c r="AC171" s="50"/>
      <x:c r="AD171" s="50"/>
      <x:c r="AE171" s="50"/>
      <x:c r="AF171" s="50"/>
      <x:c r="AG171" s="50"/>
      <x:c r="AH171" s="50"/>
      <x:c r="AI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  <x:c r="AA172" s="50"/>
      <x:c r="AB172" s="50"/>
      <x:c r="AC172" s="50"/>
      <x:c r="AD172" s="50"/>
      <x:c r="AE172" s="50"/>
      <x:c r="AF172" s="50"/>
      <x:c r="AG172" s="50"/>
      <x:c r="AH172" s="50"/>
      <x:c r="AI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  <x:c r="AA173" s="50"/>
      <x:c r="AB173" s="50"/>
      <x:c r="AC173" s="50"/>
      <x:c r="AD173" s="50"/>
      <x:c r="AE173" s="50"/>
      <x:c r="AF173" s="50"/>
      <x:c r="AG173" s="50"/>
      <x:c r="AH173" s="50"/>
      <x:c r="AI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  <x:c r="AA174" s="50"/>
      <x:c r="AB174" s="50"/>
      <x:c r="AC174" s="50"/>
      <x:c r="AD174" s="50"/>
      <x:c r="AE174" s="50"/>
      <x:c r="AF174" s="50"/>
      <x:c r="AG174" s="50"/>
      <x:c r="AH174" s="50"/>
      <x:c r="AI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  <x:c r="AA175" s="50"/>
      <x:c r="AB175" s="50"/>
      <x:c r="AC175" s="50"/>
      <x:c r="AD175" s="50"/>
      <x:c r="AE175" s="50"/>
      <x:c r="AF175" s="50"/>
      <x:c r="AG175" s="50"/>
      <x:c r="AH175" s="50"/>
      <x:c r="AI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  <x:c r="AA176" s="50"/>
      <x:c r="AB176" s="50"/>
      <x:c r="AC176" s="50"/>
      <x:c r="AD176" s="50"/>
      <x:c r="AE176" s="50"/>
      <x:c r="AF176" s="50"/>
      <x:c r="AG176" s="50"/>
      <x:c r="AH176" s="50"/>
      <x:c r="AI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  <x:c r="AA177" s="50"/>
      <x:c r="AB177" s="50"/>
      <x:c r="AC177" s="50"/>
      <x:c r="AD177" s="50"/>
      <x:c r="AE177" s="50"/>
      <x:c r="AF177" s="50"/>
      <x:c r="AG177" s="50"/>
      <x:c r="AH177" s="50"/>
      <x:c r="AI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  <x:c r="AA178" s="50"/>
      <x:c r="AB178" s="50"/>
      <x:c r="AC178" s="50"/>
      <x:c r="AD178" s="50"/>
      <x:c r="AE178" s="50"/>
      <x:c r="AF178" s="50"/>
      <x:c r="AG178" s="50"/>
      <x:c r="AH178" s="50"/>
      <x:c r="AI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  <x:c r="AA179" s="50"/>
      <x:c r="AB179" s="50"/>
      <x:c r="AC179" s="50"/>
      <x:c r="AD179" s="50"/>
      <x:c r="AE179" s="50"/>
      <x:c r="AF179" s="50"/>
      <x:c r="AG179" s="50"/>
      <x:c r="AH179" s="50"/>
      <x:c r="AI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  <x:c r="AA180" s="50"/>
      <x:c r="AB180" s="50"/>
      <x:c r="AC180" s="50"/>
      <x:c r="AD180" s="50"/>
      <x:c r="AE180" s="50"/>
      <x:c r="AF180" s="50"/>
      <x:c r="AG180" s="50"/>
      <x:c r="AH180" s="50"/>
      <x:c r="AI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  <x:c r="AA181" s="50"/>
      <x:c r="AB181" s="50"/>
      <x:c r="AC181" s="50"/>
      <x:c r="AD181" s="50"/>
      <x:c r="AE181" s="50"/>
      <x:c r="AF181" s="50"/>
      <x:c r="AG181" s="50"/>
      <x:c r="AH181" s="50"/>
      <x:c r="AI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  <x:c r="AA182" s="50"/>
      <x:c r="AB182" s="50"/>
      <x:c r="AC182" s="50"/>
      <x:c r="AD182" s="50"/>
      <x:c r="AE182" s="50"/>
      <x:c r="AF182" s="50"/>
      <x:c r="AG182" s="50"/>
      <x:c r="AH182" s="50"/>
      <x:c r="AI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  <x:c r="AA183" s="50"/>
      <x:c r="AB183" s="50"/>
      <x:c r="AC183" s="50"/>
      <x:c r="AD183" s="50"/>
      <x:c r="AE183" s="50"/>
      <x:c r="AF183" s="50"/>
      <x:c r="AG183" s="50"/>
      <x:c r="AH183" s="50"/>
      <x:c r="AI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  <x:c r="AA184" s="50"/>
      <x:c r="AB184" s="50"/>
      <x:c r="AC184" s="50"/>
      <x:c r="AD184" s="50"/>
      <x:c r="AE184" s="50"/>
      <x:c r="AF184" s="50"/>
      <x:c r="AG184" s="50"/>
      <x:c r="AH184" s="50"/>
      <x:c r="AI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  <x:c r="AA185" s="50"/>
      <x:c r="AB185" s="50"/>
      <x:c r="AC185" s="50"/>
      <x:c r="AD185" s="50"/>
      <x:c r="AE185" s="50"/>
      <x:c r="AF185" s="50"/>
      <x:c r="AG185" s="50"/>
      <x:c r="AH185" s="50"/>
      <x:c r="AI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  <x:c r="AA186" s="50"/>
      <x:c r="AB186" s="50"/>
      <x:c r="AC186" s="50"/>
      <x:c r="AD186" s="50"/>
      <x:c r="AE186" s="50"/>
      <x:c r="AF186" s="50"/>
      <x:c r="AG186" s="50"/>
      <x:c r="AH186" s="50"/>
      <x:c r="AI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  <x:c r="AA187" s="50"/>
      <x:c r="AB187" s="50"/>
      <x:c r="AC187" s="50"/>
      <x:c r="AD187" s="50"/>
      <x:c r="AE187" s="50"/>
      <x:c r="AF187" s="50"/>
      <x:c r="AG187" s="50"/>
      <x:c r="AH187" s="50"/>
      <x:c r="AI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  <x:c r="AA188" s="50"/>
      <x:c r="AB188" s="50"/>
      <x:c r="AC188" s="50"/>
      <x:c r="AD188" s="50"/>
      <x:c r="AE188" s="50"/>
      <x:c r="AF188" s="50"/>
      <x:c r="AG188" s="50"/>
      <x:c r="AH188" s="50"/>
      <x:c r="AI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  <x:c r="AA189" s="50"/>
      <x:c r="AB189" s="50"/>
      <x:c r="AC189" s="50"/>
      <x:c r="AD189" s="50"/>
      <x:c r="AE189" s="50"/>
      <x:c r="AF189" s="50"/>
      <x:c r="AG189" s="50"/>
      <x:c r="AH189" s="50"/>
      <x:c r="AI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  <x:c r="AA190" s="50"/>
      <x:c r="AB190" s="50"/>
      <x:c r="AC190" s="50"/>
      <x:c r="AD190" s="50"/>
      <x:c r="AE190" s="50"/>
      <x:c r="AF190" s="50"/>
      <x:c r="AG190" s="50"/>
      <x:c r="AH190" s="50"/>
      <x:c r="AI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  <x:c r="AA191" s="50"/>
      <x:c r="AB191" s="50"/>
      <x:c r="AC191" s="50"/>
      <x:c r="AD191" s="50"/>
      <x:c r="AE191" s="50"/>
      <x:c r="AF191" s="50"/>
      <x:c r="AG191" s="50"/>
      <x:c r="AH191" s="50"/>
      <x:c r="AI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  <x:c r="AA192" s="50"/>
      <x:c r="AB192" s="50"/>
      <x:c r="AC192" s="50"/>
      <x:c r="AD192" s="50"/>
      <x:c r="AE192" s="50"/>
      <x:c r="AF192" s="50"/>
      <x:c r="AG192" s="50"/>
      <x:c r="AH192" s="50"/>
      <x:c r="AI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  <x:c r="AA193" s="50"/>
      <x:c r="AB193" s="50"/>
      <x:c r="AC193" s="50"/>
      <x:c r="AD193" s="50"/>
      <x:c r="AE193" s="50"/>
      <x:c r="AF193" s="50"/>
      <x:c r="AG193" s="50"/>
      <x:c r="AH193" s="50"/>
      <x:c r="AI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  <x:c r="AA194" s="50"/>
      <x:c r="AB194" s="50"/>
      <x:c r="AC194" s="50"/>
      <x:c r="AD194" s="50"/>
      <x:c r="AE194" s="50"/>
      <x:c r="AF194" s="50"/>
      <x:c r="AG194" s="50"/>
      <x:c r="AH194" s="50"/>
      <x:c r="AI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  <x:c r="AA195" s="50"/>
      <x:c r="AB195" s="50"/>
      <x:c r="AC195" s="50"/>
      <x:c r="AD195" s="50"/>
      <x:c r="AE195" s="50"/>
      <x:c r="AF195" s="50"/>
      <x:c r="AG195" s="50"/>
      <x:c r="AH195" s="50"/>
      <x:c r="AI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  <x:c r="AA196" s="50"/>
      <x:c r="AB196" s="50"/>
      <x:c r="AC196" s="50"/>
      <x:c r="AD196" s="50"/>
      <x:c r="AE196" s="50"/>
      <x:c r="AF196" s="50"/>
      <x:c r="AG196" s="50"/>
      <x:c r="AH196" s="50"/>
      <x:c r="AI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  <x:c r="AA197" s="50"/>
      <x:c r="AB197" s="50"/>
      <x:c r="AC197" s="50"/>
      <x:c r="AD197" s="50"/>
      <x:c r="AE197" s="50"/>
      <x:c r="AF197" s="50"/>
      <x:c r="AG197" s="50"/>
      <x:c r="AH197" s="50"/>
      <x:c r="AI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  <x:c r="AA198" s="50"/>
      <x:c r="AB198" s="50"/>
      <x:c r="AC198" s="50"/>
      <x:c r="AD198" s="50"/>
      <x:c r="AE198" s="50"/>
      <x:c r="AF198" s="50"/>
      <x:c r="AG198" s="50"/>
      <x:c r="AH198" s="50"/>
      <x:c r="AI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  <x:c r="AA199" s="50"/>
      <x:c r="AB199" s="50"/>
      <x:c r="AC199" s="50"/>
      <x:c r="AD199" s="50"/>
      <x:c r="AE199" s="50"/>
      <x:c r="AF199" s="50"/>
      <x:c r="AG199" s="50"/>
      <x:c r="AH199" s="50"/>
      <x:c r="AI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  <x:c r="AA200" s="50"/>
      <x:c r="AB200" s="50"/>
      <x:c r="AC200" s="50"/>
      <x:c r="AD200" s="50"/>
      <x:c r="AE200" s="50"/>
      <x:c r="AF200" s="50"/>
      <x:c r="AG200" s="50"/>
      <x:c r="AH200" s="50"/>
      <x:c r="AI200" s="50"/>
    </x:row>
  </x:sheetData>
  <x:mergeCells>
    <x:mergeCell ref="A1:AE1"/>
    <x:mergeCell ref="A3:AE4"/>
  </x:mergeCells>
  <x:conditionalFormatting sqref="O7:O200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Q7:R200">
    <x:cfRule type="expression" dxfId="0" priority="2">
      <x:formula>Q7="Automatic"</x:formula>
    </x:cfRule>
    <x:cfRule type="expression" dxfId="1" priority="3">
      <x:formula>Q7="Approval-gated"</x:formula>
    </x:cfRule>
    <x:cfRule type="expression" dxfId="2" priority="4">
      <x:formula>Q7="Manual"</x:formula>
    </x:cfRule>
  </x:conditionalFormatting>
  <x:conditionalFormatting sqref="AH7:AH200">
    <x:cfRule type="expression" dxfId="3" priority="5">
      <x:formula>AH7="Approved"</x:formula>
    </x:cfRule>
    <x:cfRule type="expression" dxfId="4" priority="6">
      <x:formula>AH7="Rejected"</x:formula>
    </x:cfRule>
  </x:conditionalFormatting>
  <x:dataValidations count="8">
    <x:dataValidation operator="between" sqref="F7:J200">
      <x:formula1>1</x:formula1>
      <x:formula2>5</x:formula2>
    </x:dataValidation>
    <x:dataValidation type="list" sqref="K7:K200">
      <x:formula1>"Yes,No"</x:formula1>
    </x:dataValidation>
    <x:dataValidation type="list" sqref="L7:L200">
      <x:formula1>"Yes,No"</x:formula1>
    </x:dataValidation>
    <x:dataValidation type="list" sqref="M7:M200">
      <x:formula1>"Yes,No"</x:formula1>
    </x:dataValidation>
    <x:dataValidation type="list" sqref="N7:N200">
      <x:formula1>"Yes,No"</x:formula1>
    </x:dataValidation>
    <x:dataValidation type="list" sqref="R7:R200">
      <x:formula1>"Automatic,Approval-gated,Manual,Prohibited"</x:formula1>
    </x:dataValidation>
    <x:dataValidation type="list" sqref="AH7:AH200">
      <x:formula1>"Draft,In review,Approved,Rejected,Retired"</x:formula1>
    </x:dataValidation>
    <x:dataValidation type="list" sqref="AI7:AI2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195380133c4a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4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0" customHeight="1">
      <x:c r="A1" s="5" t="str">
        <x:v>Risk Scoring Guide</x:v>
      </x:c>
      <x:c r="B1" s="5"/>
      <x:c r="C1" s="5"/>
      <x:c r="D1" s="5"/>
      <x:c r="E1" s="5"/>
      <x:c r="F1" s="5"/>
    </x:row>
    <x:row r="3" ht="32" customHeight="1">
      <x:c r="A3" s="29" t="str">
        <x:v>Factor</x:v>
      </x:c>
      <x:c r="B3" s="30" t="str">
        <x:v>1 – Low</x:v>
      </x:c>
      <x:c r="C3" s="30" t="str">
        <x:v>2</x:v>
      </x:c>
      <x:c r="D3" s="30" t="str">
        <x:v>3 – Moderate</x:v>
      </x:c>
      <x:c r="E3" s="30" t="str">
        <x:v>4</x:v>
      </x:c>
      <x:c r="F3" s="31" t="str">
        <x:v>5 – High</x:v>
      </x:c>
    </x:row>
    <x:row r="4">
      <x:c r="A4" s="46" t="str">
        <x:v>Data sensitivity</x:v>
      </x:c>
      <x:c r="B4" s="46" t="str">
        <x:v>No regulated data</x:v>
      </x:c>
      <x:c r="C4" s="46" t="str">
        <x:v>Operational metadata</x:v>
      </x:c>
      <x:c r="D4" s="46" t="str">
        <x:v>Internal data</x:v>
      </x:c>
      <x:c r="E4" s="46" t="str">
        <x:v>ePHI processed with strong controls</x:v>
      </x:c>
      <x:c r="F4" s="46" t="str">
        <x:v>ePHI or security-sensitive identity data</x:v>
      </x:c>
    </x:row>
    <x:row r="5">
      <x:c r="A5" s="46" t="str">
        <x:v>Action impact</x:v>
      </x:c>
      <x:c r="B5" s="46" t="str">
        <x:v>Informational only</x:v>
      </x:c>
      <x:c r="C5" s="46" t="str">
        <x:v>Small reversible operational change</x:v>
      </x:c>
      <x:c r="D5" s="46" t="str">
        <x:v>Service degradation possible</x:v>
      </x:c>
      <x:c r="E5" s="46" t="str">
        <x:v>Material availability/integrity impact</x:v>
      </x:c>
      <x:c r="F5" s="46" t="str">
        <x:v>Destructive, access-changing, or safety-relevant</x:v>
      </x:c>
    </x:row>
    <x:row r="6">
      <x:c r="A6" s="46" t="str">
        <x:v>Reversibility difficulty</x:v>
      </x:c>
      <x:c r="B6" s="46" t="str">
        <x:v>Automatic rollback verified</x:v>
      </x:c>
      <x:c r="C6" s="46" t="str">
        <x:v>Simple documented rollback</x:v>
      </x:c>
      <x:c r="D6" s="46" t="str">
        <x:v>Manual rollback with validation</x:v>
      </x:c>
      <x:c r="E6" s="46" t="str">
        <x:v>Complex restoration/dependencies</x:v>
      </x:c>
      <x:c r="F6" s="46" t="str">
        <x:v>Irreversible or recovery uncertain</x:v>
      </x:c>
    </x:row>
    <x:row r="7">
      <x:c r="A7" s="46" t="str">
        <x:v>Blast radius</x:v>
      </x:c>
      <x:c r="B7" s="46" t="str">
        <x:v>Single alert/item</x:v>
      </x:c>
      <x:c r="C7" s="46" t="str">
        <x:v>Single component</x:v>
      </x:c>
      <x:c r="D7" s="46" t="str">
        <x:v>One partner/workload</x:v>
      </x:c>
      <x:c r="E7" s="46" t="str">
        <x:v>Multiple partners/services</x:v>
      </x:c>
      <x:c r="F7" s="46" t="str">
        <x:v>Enterprise/clinical operations</x:v>
      </x:c>
    </x:row>
    <x:row r="8">
      <x:c r="A8" s="46" t="str">
        <x:v>Detection confidence</x:v>
      </x:c>
      <x:c r="B8" s="46" t="str">
        <x:v>Deterministic verified signal</x:v>
      </x:c>
      <x:c r="C8" s="46" t="str">
        <x:v>Very high confidence</x:v>
      </x:c>
      <x:c r="D8" s="46" t="str">
        <x:v>Correlated evidence</x:v>
      </x:c>
      <x:c r="E8" s="46" t="str">
        <x:v>Single noisy signal</x:v>
      </x:c>
      <x:c r="F8" s="46" t="str">
        <x:v>Low confidence/ambiguous</x:v>
      </x:c>
    </x:row>
    <x:row r="10" ht="32" customHeight="1">
      <x:c r="A10" s="29" t="str">
        <x:v>Rule</x:v>
      </x:c>
      <x:c r="B10" s="30" t="str">
        <x:v>Formula / condition</x:v>
      </x:c>
      <x:c r="C10" s="31" t="str">
        <x:v>Interpretation</x:v>
      </x:c>
    </x:row>
    <x:row r="11">
      <x:c r="A11" s="46" t="str">
        <x:v>Base score</x:v>
      </x:c>
      <x:c r="B11" s="46" t="str">
        <x:v>Sensitivity × Impact + Reversibility × Blast radius + (6 − Confidence) × 2</x:v>
      </x:c>
      <x:c r="C11" s="46" t="str">
        <x:v>Higher values need stronger human control.</x:v>
      </x:c>
    </x:row>
    <x:row r="12">
      <x:c r="A12" s="46" t="str">
        <x:v>Automatic candidate</x:v>
      </x:c>
      <x:c r="B12" s="46" t="str">
        <x:v>0–24 and no mandatory gate</x:v>
      </x:c>
      <x:c r="C12" s="46" t="str">
        <x:v>Still requires authorization, bounded scope, validation, rollback, and audit evidence.</x:v>
      </x:c>
    </x:row>
    <x:row r="13">
      <x:c r="A13" s="46" t="str">
        <x:v>Approval-gated candidate</x:v>
      </x:c>
      <x:c r="B13" s="46" t="str">
        <x:v>25–39, or access-change gate</x:v>
      </x:c>
      <x:c r="C13" s="46" t="str">
        <x:v>Authorized reviewer approves a specific scope and expiry.</x:v>
      </x:c>
    </x:row>
    <x:row r="14">
      <x:c r="A14" s="46" t="str">
        <x:v>Manual</x:v>
      </x:c>
      <x:c r="B14" s="46" t="str">
        <x:v>40+, or deletion, retention, or clinical-impact gate</x:v>
      </x:c>
      <x:c r="C14" s="46" t="str">
        <x:v>Execute using an approved runbook; two-person control when policy requires.</x:v>
      </x:c>
    </x:row>
    <x:row r="15">
      <x:c r="A15" s="46" t="str">
        <x:v>Override</x:v>
      </x:c>
      <x:c r="B15" s="46" t="str">
        <x:v>Final decision may be stricter than recommendation</x:v>
      </x:c>
      <x:c r="C15" s="46" t="str">
        <x:v>Document the reason and approver. Never weaken a mandatory gate without formal risk acceptance.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34" hidden="0" customWidth="1"/>
    <x:col min="5" max="5" width="50" hidden="0" customWidth="1"/>
    <x:col min="6" max="6" width="22" hidden="0" customWidth="1"/>
    <x:col min="7" max="7" width="28" hidden="0" customWidth="1"/>
    <x:col min="8" max="8" width="18" hidden="0" customWidth="1"/>
  </x:cols>
  <x:sheetData>
    <x:row r="1" ht="30" customHeight="1">
      <x:c r="A1" s="5" t="str">
        <x:v>Automation Governance Dashboard</x:v>
      </x:c>
      <x:c r="B1" s="5"/>
      <x:c r="C1" s="5"/>
      <x:c r="D1" s="5"/>
      <x:c r="E1" s="5"/>
      <x:c r="F1" s="5"/>
      <x:c r="G1" s="5"/>
      <x:c r="H1" s="5"/>
    </x:row>
    <x:row r="3" ht="32" customHeight="1">
      <x:c r="A3" s="29" t="str">
        <x:v>KPI</x:v>
      </x:c>
      <x:c r="B3" s="31" t="str">
        <x:v>Value</x:v>
      </x:c>
      <x:c r="D3" s="29" t="str">
        <x:v>Review check</x:v>
      </x:c>
      <x:c r="E3" s="30" t="str">
        <x:v>Pass criterion</x:v>
      </x:c>
      <x:c r="F3" s="30" t="str">
        <x:v>Owner</x:v>
      </x:c>
      <x:c r="G3" s="30" t="str">
        <x:v>Evidence</x:v>
      </x:c>
      <x:c r="H3" s="31" t="str">
        <x:v>Status</x:v>
      </x:c>
    </x:row>
    <x:row r="4">
      <x:c r="A4" t="str">
        <x:v>Total decisions</x:v>
      </x:c>
      <x:c r="B4" t="n">
        <x:f>COUNTA('Decision Matrix'!A7:A200)</x:f>
        <x:v>8</x:v>
      </x:c>
      <x:c r="D4" s="46" t="str">
        <x:v>No PHI in telemetry</x:v>
      </x:c>
      <x:c r="E4" s="46" t="str">
        <x:v>Audit-field design excludes payloads and direct patient identifiers.</x:v>
      </x:c>
      <x:c r="F4" s="46" t="str">
        <x:v>Security / Privacy</x:v>
      </x:c>
      <x:c r="G4" s="46" t="str">
        <x:v>Logging design review</x:v>
      </x:c>
      <x:c r="H4" s="46" t="str">
        <x:v>Not reviewed</x:v>
      </x:c>
    </x:row>
    <x:row r="5">
      <x:c r="A5" t="str">
        <x:v>Approved</x:v>
      </x:c>
      <x:c r="B5" t="n">
        <x:f>COUNTIF('Decision Matrix'!AH7:AH200,"Approved")</x:f>
        <x:v>0</x:v>
      </x:c>
      <x:c r="D5" s="46" t="str">
        <x:v>Every action is reversible or explicitly manual</x:v>
      </x:c>
      <x:c r="E5" s="46" t="str">
        <x:v>Rollback/compensating action present.</x:v>
      </x:c>
      <x:c r="F5" s="46" t="str">
        <x:v>Service owner</x:v>
      </x:c>
      <x:c r="G5" s="46" t="str">
        <x:v>Rollback test</x:v>
      </x:c>
      <x:c r="H5" s="46" t="str">
        <x:v>Not reviewed</x:v>
      </x:c>
    </x:row>
    <x:row r="6">
      <x:c r="A6" t="str">
        <x:v>Automatic final decisions</x:v>
      </x:c>
      <x:c r="B6" t="n">
        <x:f>COUNTIF('Decision Matrix'!R7:R200,"Automatic")</x:f>
        <x:v>3</x:v>
      </x:c>
      <x:c r="D6" s="46" t="str">
        <x:v>Approvals are scoped and expire</x:v>
      </x:c>
      <x:c r="E6" s="46" t="str">
        <x:v>Role, reason, scope, and expiry recorded.</x:v>
      </x:c>
      <x:c r="F6" s="46" t="str">
        <x:v>Control owner</x:v>
      </x:c>
      <x:c r="G6" s="46" t="str">
        <x:v>Approval record</x:v>
      </x:c>
      <x:c r="H6" s="46" t="str">
        <x:v>Not reviewed</x:v>
      </x:c>
    </x:row>
    <x:row r="7">
      <x:c r="A7" t="str">
        <x:v>Approval-gated final decisions</x:v>
      </x:c>
      <x:c r="B7" t="n">
        <x:f>COUNTIF('Decision Matrix'!R7:R200,"Approval-gated")</x:f>
        <x:v>2</x:v>
      </x:c>
      <x:c r="D7" s="46" t="str">
        <x:v>Runbook linked</x:v>
      </x:c>
      <x:c r="E7" s="46" t="str">
        <x:v>Approved runbook ID exists and is tested.</x:v>
      </x:c>
      <x:c r="F7" s="46" t="str">
        <x:v>Operations</x:v>
      </x:c>
      <x:c r="G7" s="46" t="str">
        <x:v>Runbook test result</x:v>
      </x:c>
      <x:c r="H7" s="46" t="str">
        <x:v>Not reviewed</x:v>
      </x:c>
    </x:row>
    <x:row r="8">
      <x:c r="A8" t="str">
        <x:v>Manual final decisions</x:v>
      </x:c>
      <x:c r="B8" t="n">
        <x:f>COUNTIF('Decision Matrix'!R7:R200,"Manual")</x:f>
        <x:v>3</x:v>
      </x:c>
      <x:c r="D8" s="46" t="str">
        <x:v>Quarterly review scheduled</x:v>
      </x:c>
      <x:c r="E8" s="46" t="str">
        <x:v>Review date assigned for approved automations.</x:v>
      </x:c>
      <x:c r="F8" s="46" t="str">
        <x:v>Owner</x:v>
      </x:c>
      <x:c r="G8" s="46" t="str">
        <x:v>Review record</x:v>
      </x:c>
      <x:c r="H8" s="46" t="str">
        <x:v>Not reviewed</x:v>
      </x:c>
    </x:row>
    <x:row r="9">
      <x:c r="A9" t="str">
        <x:v>Critical residual risk</x:v>
      </x:c>
      <x:c r="B9" t="n">
        <x:f>COUNTIF('Decision Matrix'!AI7:AI200,"Critical")</x:f>
        <x:v>2</x:v>
      </x:c>
    </x:row>
    <x:row r="12" ht="32" customHeight="1">
      <x:c r="A12" s="29" t="str">
        <x:v>Decision class</x:v>
      </x:c>
      <x:c r="B12" s="31" t="str">
        <x:v>Count</x:v>
      </x:c>
    </x:row>
    <x:row r="13">
      <x:c r="A13" t="str">
        <x:v>Automatic</x:v>
      </x:c>
      <x:c r="B13" t="n">
        <x:f>COUNTIF('Decision Matrix'!R7:R200,A13)</x:f>
        <x:v>3</x:v>
      </x:c>
    </x:row>
    <x:row r="14">
      <x:c r="A14" t="str">
        <x:v>Approval-gated</x:v>
      </x:c>
      <x:c r="B14" t="n">
        <x:f>COUNTIF('Decision Matrix'!R7:R200,A14)</x:f>
        <x:v>2</x:v>
      </x:c>
    </x:row>
    <x:row r="15">
      <x:c r="A15" t="str">
        <x:v>Manual</x:v>
      </x:c>
      <x:c r="B15" t="n">
        <x:f>COUNTIF('Decision Matrix'!R7:R200,A15)</x:f>
        <x:v>3</x:v>
      </x:c>
    </x:row>
    <x:row r="16">
      <x:c r="A16" t="str">
        <x:v>Prohibited</x:v>
      </x:c>
      <x:c r="B16" t="n">
        <x:f>COUNTIF('Decision Matrix'!R7:R200,A16)</x:f>
        <x:v>0</x:v>
      </x:c>
    </x:row>
  </x:sheetData>
  <x:mergeCells>
    <x:mergeCell ref="A1:H1"/>
  </x:mergeCells>
  <x:conditionalFormatting sqref="H4:H8">
    <x:cfRule type="expression" dxfId="5" priority="1">
      <x:formula>H4="Pass"</x:formula>
    </x:cfRule>
    <x:cfRule type="expression" dxfId="6" priority="2">
      <x:formula>H4="Fail"</x:formula>
    </x:cfRule>
  </x:conditionalFormatting>
  <x:dataValidations count="1">
    <x:dataValidation type="list" sqref="H4:H8">
      <x:formula1>"Not reviewed,Pass,Fail,Not applicable"</x:formula1>
    </x:dataValidation>
  </x:dataValidations>
  <x:pageMargins left="0.7" right="0.7" top="0.75" bottom="0.75" header="0.3" footer="0.3"/>
  <x:drawing xmlns:r="http://schemas.openxmlformats.org/officeDocument/2006/relationships" r:id="R4c50ee1d0cae4586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58" hidden="0" customWidth="1"/>
  </x:cols>
  <x:sheetData>
    <x:row r="1" ht="30" customHeight="1">
      <x:c r="A1" s="5" t="str">
        <x:v>Authoritative References</x:v>
      </x:c>
      <x:c r="B1" s="5"/>
      <x:c r="C1" s="5"/>
    </x:row>
    <x:row r="3" ht="32" customHeight="1">
      <x:c r="A3" s="29" t="str">
        <x:v>Topic</x:v>
      </x:c>
      <x:c r="B3" s="30" t="str">
        <x:v>Reference</x:v>
      </x:c>
      <x:c r="C3" s="31" t="str">
        <x:v>Use in this template</x:v>
      </x:c>
    </x:row>
    <x:row r="4">
      <x:c r="A4" s="46" t="str">
        <x:v>Azure Well-Architected Framework – Operational Excellence</x:v>
      </x:c>
      <x:c r="B4" s="46" t="str">
        <x:v>https://learn.microsoft.com/azure/well-architected/operational-excellence/</x:v>
      </x:c>
      <x:c r="C4" s="46" t="str">
        <x:v>Automation should be safe, observable, repeatable, and tested.</x:v>
      </x:c>
    </x:row>
    <x:row r="5">
      <x:c r="A5" s="46" t="str">
        <x:v>Azure Architecture Center – Mission-critical design</x:v>
      </x:c>
      <x:c r="B5" s="46" t="str">
        <x:v>https://learn.microsoft.com/azure/architecture/reference-architectures/containers/aks-mission-critical/mission-critical-intro</x:v>
      </x:c>
      <x:c r="C5" s="46" t="str">
        <x:v>Use bounded blast radius, deployment safety, and operational validation.</x:v>
      </x:c>
    </x:row>
    <x:row r="6">
      <x:c r="A6" s="46" t="str">
        <x:v>Managed identities for Azure resources</x:v>
      </x:c>
      <x:c r="B6" s="46" t="str">
        <x:v>https://learn.microsoft.com/entra/identity/managed-identities-azure-resources/overview</x:v>
      </x:c>
      <x:c r="C6" s="46" t="str">
        <x:v>Prefer workload identities over stored credentials.</x:v>
      </x:c>
    </x:row>
    <x:row r="7">
      <x:c r="A7" s="46" t="str">
        <x:v>Azure Monitor data security</x:v>
      </x:c>
      <x:c r="B7" s="46" t="str">
        <x:v>https://learn.microsoft.com/azure/azure-monitor/logs/data-security</x:v>
      </x:c>
      <x:c r="C7" s="46" t="str">
        <x:v>Design authorization and avoid sensitive data exposure in telemetry.</x:v>
      </x:c>
    </x:row>
    <x:row r="8">
      <x:c r="A8" s="46" t="str">
        <x:v>HHS Security Rule – Technical Safeguards</x:v>
      </x:c>
      <x:c r="B8" s="46" t="str">
        <x:v>https://www.hhs.gov/hipaa/for-professionals/security/laws-regulations/index.html</x:v>
      </x:c>
      <x:c r="C8" s="46" t="str">
        <x:v>Use access, audit, integrity, authentication, and transmission controls.</x:v>
      </x:c>
    </x:row>
    <x:row r="9">
      <x:c r="A9" s="46" t="str">
        <x:v>NIST SP 800-61 Rev. 2</x:v>
      </x:c>
      <x:c r="B9" s="46" t="str">
        <x:v>https://csrc.nist.gov/pubs/sp/800/61/r2/final</x:v>
      </x:c>
      <x:c r="C9" s="46" t="str">
        <x:v>Structure incident response, evidence, containment, eradication, and recovery.</x:v>
      </x:c>
    </x:row>
    <x:row r="10">
      <x:c r="A10" s="46" t="str">
        <x:v>Microsoft Writing Style Guide</x:v>
      </x:c>
      <x:c r="B10" s="46" t="str">
        <x:v>https://learn.microsoft.com/style-guide/welcome/</x:v>
      </x:c>
      <x:c r="C10" s="46" t="str">
        <x:v>Use direct, concise, action-oriented instructions.</x:v>
      </x:c>
    </x:row>
  </x:sheetData>
  <x:mergeCells>
    <x:mergeCell ref="A1:C1"/>
  </x:mergeCells>
  <x:pageMargins left="0.7" right="0.7" top="0.75" bottom="0.75" header="0.3" footer="0.3"/>
</x:worksheet>
</file>